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asis/Debasis/personal/Projects/PortAct/statements/mfs/"/>
    </mc:Choice>
  </mc:AlternateContent>
  <xr:revisionPtr revIDLastSave="0" documentId="13_ncr:1_{C1574827-7F44-8E4D-A08D-75C7130B4866}" xr6:coauthVersionLast="47" xr6:coauthVersionMax="47" xr10:uidLastSave="{00000000-0000-0000-0000-000000000000}"/>
  <bookViews>
    <workbookView xWindow="0" yWindow="660" windowWidth="34560" windowHeight="20060" activeTab="2" xr2:uid="{148E01C0-DEF5-E643-9495-2C06FA4BBE8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4" l="1"/>
  <c r="G114" i="4" s="1"/>
  <c r="F113" i="4"/>
  <c r="F114" i="4" s="1"/>
  <c r="G104" i="4"/>
  <c r="G105" i="4" s="1"/>
  <c r="G115" i="4" s="1"/>
  <c r="F104" i="4"/>
  <c r="F105" i="4" s="1"/>
  <c r="F115" i="4" s="1"/>
  <c r="G199" i="3"/>
  <c r="F199" i="3"/>
  <c r="G93" i="3"/>
  <c r="F93" i="3"/>
  <c r="G39" i="3"/>
  <c r="F39" i="3"/>
</calcChain>
</file>

<file path=xl/sharedStrings.xml><?xml version="1.0" encoding="utf-8"?>
<sst xmlns="http://schemas.openxmlformats.org/spreadsheetml/2006/main" count="2942" uniqueCount="1736">
  <si>
    <t>BSLNMF</t>
  </si>
  <si>
    <t>ADITYA BIRLA SUN LIFE DIGITAL INDIA FUND</t>
  </si>
  <si>
    <t>Monthly Portfolio Statement as on January 31,2026</t>
  </si>
  <si>
    <t>Name of the Instrument</t>
  </si>
  <si>
    <t>ISIN</t>
  </si>
  <si>
    <t>Industry^ / Rating</t>
  </si>
  <si>
    <t>Quantity</t>
  </si>
  <si>
    <t>Market/Fair Value_x000D_
(Rs.in Lacs)</t>
  </si>
  <si>
    <t>% to Net Assets</t>
  </si>
  <si>
    <t>Equity &amp; Equity related</t>
  </si>
  <si>
    <t>(a) Listed / awaiting listing on Stock Exchange</t>
  </si>
  <si>
    <t>Infosys Limited</t>
  </si>
  <si>
    <t>INE009A01021</t>
  </si>
  <si>
    <t>IT - Software</t>
  </si>
  <si>
    <t>Tata Consultancy Services Limited</t>
  </si>
  <si>
    <t>INE467B01029</t>
  </si>
  <si>
    <t>Tech Mahindra Limited</t>
  </si>
  <si>
    <t>INE669C01036</t>
  </si>
  <si>
    <t>Bharti Airtel Limited</t>
  </si>
  <si>
    <t>INE397D01024</t>
  </si>
  <si>
    <t>Telecom - Services</t>
  </si>
  <si>
    <t>Eternal Limited</t>
  </si>
  <si>
    <t>INE758T01015</t>
  </si>
  <si>
    <t>Retailing</t>
  </si>
  <si>
    <t>LTIMindtree Limited</t>
  </si>
  <si>
    <t>INE214T01019</t>
  </si>
  <si>
    <t>Coforge Limited</t>
  </si>
  <si>
    <t>INE591G01025</t>
  </si>
  <si>
    <t>Swiggy Ltd</t>
  </si>
  <si>
    <t>INE00H001014</t>
  </si>
  <si>
    <t>Persistent Systems Limited</t>
  </si>
  <si>
    <t>INE262H01021</t>
  </si>
  <si>
    <t>HCL Technologies Limited</t>
  </si>
  <si>
    <t>INE860A01027</t>
  </si>
  <si>
    <t>Cyient Limited</t>
  </si>
  <si>
    <t>INE136B01020</t>
  </si>
  <si>
    <t>IT - Services</t>
  </si>
  <si>
    <t>Firstsource Solutions Limited</t>
  </si>
  <si>
    <t>INE684F01012</t>
  </si>
  <si>
    <t>Commercial Services &amp; Supplies</t>
  </si>
  <si>
    <t>Rategain Travel Technologies Limited</t>
  </si>
  <si>
    <t>INE0CLI01024</t>
  </si>
  <si>
    <t>Latent View Analytics Limited</t>
  </si>
  <si>
    <t>INE0I7C01011</t>
  </si>
  <si>
    <t>Hexaware Technologies limited</t>
  </si>
  <si>
    <t>INE093A01041</t>
  </si>
  <si>
    <t>PB Fintech Limited</t>
  </si>
  <si>
    <t>INE417T01026</t>
  </si>
  <si>
    <t>Financial Technology (Fintech)</t>
  </si>
  <si>
    <t>Sonata Software Limited</t>
  </si>
  <si>
    <t>INE269A01021</t>
  </si>
  <si>
    <t>Multi Commodity Exchange of India Limited</t>
  </si>
  <si>
    <t>INE745G01043</t>
  </si>
  <si>
    <t>Capital Markets</t>
  </si>
  <si>
    <t>MphasiS Limited</t>
  </si>
  <si>
    <t>INE356A01018</t>
  </si>
  <si>
    <t>One 97 Communications Limited</t>
  </si>
  <si>
    <t>INE982J01020</t>
  </si>
  <si>
    <t>AMAGI MEDIA LABS LTD</t>
  </si>
  <si>
    <t>INE121R01077</t>
  </si>
  <si>
    <t>Urban Co Ltd</t>
  </si>
  <si>
    <t>INE0CAZ01013</t>
  </si>
  <si>
    <t>Capillary Technologies India Ltd</t>
  </si>
  <si>
    <t>INE0ILV01024</t>
  </si>
  <si>
    <t>Affle (India) Limited</t>
  </si>
  <si>
    <t>INE00WC01027</t>
  </si>
  <si>
    <t>Cyient DLM Ltd</t>
  </si>
  <si>
    <t>INE055S01018</t>
  </si>
  <si>
    <t>Aerospace &amp; Defense</t>
  </si>
  <si>
    <t>Physicswallah Ltd</t>
  </si>
  <si>
    <t>INE0LP301011</t>
  </si>
  <si>
    <t>Other Consumer Services</t>
  </si>
  <si>
    <t>IN9397D01014</t>
  </si>
  <si>
    <t>ANGEL ONE LIMITED</t>
  </si>
  <si>
    <t>INE732I01013</t>
  </si>
  <si>
    <t>Billionbrains Garage Ventures Ltd</t>
  </si>
  <si>
    <t>INE0HOQ01053</t>
  </si>
  <si>
    <t>KPIT Technologies Limited</t>
  </si>
  <si>
    <t>INE04I401011</t>
  </si>
  <si>
    <t>CMS Info Systems Limited</t>
  </si>
  <si>
    <t>INE925R01014</t>
  </si>
  <si>
    <t>Dixon Technologies (India) Limited</t>
  </si>
  <si>
    <t>INE935N01020</t>
  </si>
  <si>
    <t>Consumer Durables</t>
  </si>
  <si>
    <t>Mastek Limited</t>
  </si>
  <si>
    <t>INE759A01021</t>
  </si>
  <si>
    <t>Zensar Technologies Limited</t>
  </si>
  <si>
    <t>INE520A01027</t>
  </si>
  <si>
    <t>Pine Labs Ltd</t>
  </si>
  <si>
    <t>INE15B701018</t>
  </si>
  <si>
    <t>Sub Total</t>
  </si>
  <si>
    <t>Total</t>
  </si>
  <si>
    <t>Foreign Securities and/or overseas ETF(s)</t>
  </si>
  <si>
    <t>(a) Listed / awaiting listing on Stock Exchanges</t>
  </si>
  <si>
    <t>Cognizant Technology Solutions Cl A Com Stk</t>
  </si>
  <si>
    <t>US1924461023</t>
  </si>
  <si>
    <t>MICROSOFT CORPORATION</t>
  </si>
  <si>
    <t>US5949181045</t>
  </si>
  <si>
    <t>Adobe Inc</t>
  </si>
  <si>
    <t>US00724F1012</t>
  </si>
  <si>
    <t>Back to Index</t>
  </si>
  <si>
    <t>Motilal Oswal Large and Midcap Fund</t>
  </si>
  <si>
    <t>Portfolio as on January 31, 2026</t>
  </si>
  <si>
    <t>Sr. No.</t>
  </si>
  <si>
    <t>Name of Instrument</t>
  </si>
  <si>
    <t>Rating / Industry</t>
  </si>
  <si>
    <t>Market value (Rs. In lakhs)</t>
  </si>
  <si>
    <t>Bharat Electronics Limited</t>
  </si>
  <si>
    <t>INE263A01024</t>
  </si>
  <si>
    <t>Muthoot Finance Limited</t>
  </si>
  <si>
    <t>INE414G01012</t>
  </si>
  <si>
    <t>Finance</t>
  </si>
  <si>
    <t>PTC Industries Limited</t>
  </si>
  <si>
    <t>INE596F01018</t>
  </si>
  <si>
    <t>Industrial Products</t>
  </si>
  <si>
    <t>Waaree Energies Limited</t>
  </si>
  <si>
    <t>INE377N01017</t>
  </si>
  <si>
    <t>Electrical Equipment</t>
  </si>
  <si>
    <t>TVS Motor Company Limited</t>
  </si>
  <si>
    <t>INE494B01023</t>
  </si>
  <si>
    <t>Automobiles</t>
  </si>
  <si>
    <t>Apar Industries Limited</t>
  </si>
  <si>
    <t>INE372A01015</t>
  </si>
  <si>
    <t>Shriram Finance Limited</t>
  </si>
  <si>
    <t>INE721A01047</t>
  </si>
  <si>
    <t>Prestige Estates Projects Limited</t>
  </si>
  <si>
    <t>INE811K01011</t>
  </si>
  <si>
    <t>Realty</t>
  </si>
  <si>
    <t>Bharat Dynamics Limited</t>
  </si>
  <si>
    <t>INE171Z01026</t>
  </si>
  <si>
    <t>CG Power and Industrial Solutions Limited</t>
  </si>
  <si>
    <t>INE067A01029</t>
  </si>
  <si>
    <t>Bajaj Finance Limited</t>
  </si>
  <si>
    <t>INE296A01032</t>
  </si>
  <si>
    <t>Samvardhana Motherson International Limited</t>
  </si>
  <si>
    <t>INE775A01035</t>
  </si>
  <si>
    <t>Auto Components</t>
  </si>
  <si>
    <t>Amber Enterprises India Limited</t>
  </si>
  <si>
    <t>INE371P01015</t>
  </si>
  <si>
    <t>Gujarat Fluorochemicals Limited</t>
  </si>
  <si>
    <t>INE09N301011</t>
  </si>
  <si>
    <t>Chemicals &amp; Petrochemicals</t>
  </si>
  <si>
    <t>Hindustan Aeronautics Limited</t>
  </si>
  <si>
    <t>INE066F01020</t>
  </si>
  <si>
    <t>Onesource Specialty Pharma Limited</t>
  </si>
  <si>
    <t>INE013P01021</t>
  </si>
  <si>
    <t>Pharmaceuticals &amp; Biotechnology</t>
  </si>
  <si>
    <t>Premier Energies Limited</t>
  </si>
  <si>
    <t>INE0BS701011</t>
  </si>
  <si>
    <t>Zen Technologies Limited</t>
  </si>
  <si>
    <t>INE251B01027</t>
  </si>
  <si>
    <t>Suzlon Energy Limited</t>
  </si>
  <si>
    <t>INE040H01021</t>
  </si>
  <si>
    <t>Cholamandalam Investment and Finance Company Ltd</t>
  </si>
  <si>
    <t>INE121A01024</t>
  </si>
  <si>
    <t>Ola Electric Mobility Ltd</t>
  </si>
  <si>
    <t>INE0LXG01040</t>
  </si>
  <si>
    <t>Ather Energy Limited</t>
  </si>
  <si>
    <t>INE0LEZ01016</t>
  </si>
  <si>
    <t>V2 Retail Limited</t>
  </si>
  <si>
    <t>INE945H01013</t>
  </si>
  <si>
    <t>Angel One Limited</t>
  </si>
  <si>
    <t>GE Vernova T&amp;D India Limited</t>
  </si>
  <si>
    <t>INE200A01026</t>
  </si>
  <si>
    <t>Religare Enterprises Limited</t>
  </si>
  <si>
    <t>INE621H01010</t>
  </si>
  <si>
    <t>IndusInd Bank Limited</t>
  </si>
  <si>
    <t>INE095A01012</t>
  </si>
  <si>
    <t>Banks</t>
  </si>
  <si>
    <t>IDFC First Bank Limited</t>
  </si>
  <si>
    <t>INE092T01019</t>
  </si>
  <si>
    <t>Aditya Birla Capital Limited</t>
  </si>
  <si>
    <t>INE674K01013</t>
  </si>
  <si>
    <t>(b) Unlisted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</si>
  <si>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</si>
  <si>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</si>
  <si>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</si>
  <si>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</si>
  <si>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</si>
  <si>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</si>
  <si>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Others</t>
  </si>
  <si>
    <t>Exchange Traded Funds</t>
  </si>
  <si>
    <t>ADITYA BIRLA SUN LIFE NIFTY IT ETF</t>
  </si>
  <si>
    <t>INF209KB11D8</t>
  </si>
  <si>
    <t>International Mutual Fund Units</t>
  </si>
  <si>
    <t>BMO GLOBAL INNOVATORS FUND SERIES - I</t>
  </si>
  <si>
    <t>IDIA00332572</t>
  </si>
  <si>
    <t>Margin (Future and Options)</t>
  </si>
  <si>
    <t>Cash and Bank</t>
  </si>
  <si>
    <t>$0.00%</t>
  </si>
  <si>
    <t>TREPS / Reverse Repo</t>
  </si>
  <si>
    <t>Clearing Corporation of India Limited</t>
  </si>
  <si>
    <t>Disclosure in Derivatives</t>
  </si>
  <si>
    <t>Industry</t>
  </si>
  <si>
    <t>Market Value (Rs. in Lacs)</t>
  </si>
  <si>
    <t>% To net assets</t>
  </si>
  <si>
    <t>Equity Futures/Index</t>
  </si>
  <si>
    <t>BSE_(24/02/2026)</t>
  </si>
  <si>
    <t xml:space="preserve">
  </t>
  </si>
  <si>
    <t>Monthly Portfolio Statement as on January 31, 2026</t>
  </si>
  <si>
    <t>Industry / Rating</t>
  </si>
  <si>
    <t>Market/Fair Value
 (Rs. in Lakhs)</t>
  </si>
  <si>
    <t>% to Net
 Assets</t>
  </si>
  <si>
    <t>YTM~</t>
  </si>
  <si>
    <t>YTC^</t>
  </si>
  <si>
    <t>HDFB03</t>
  </si>
  <si>
    <t>HDFC Bank Limited</t>
  </si>
  <si>
    <t>INE040A01034</t>
  </si>
  <si>
    <t>PGCI01</t>
  </si>
  <si>
    <t>Power Grid Corporation of India Limited</t>
  </si>
  <si>
    <t>INE752E01010</t>
  </si>
  <si>
    <t>Power</t>
  </si>
  <si>
    <t>COAL01</t>
  </si>
  <si>
    <t>Coal India Limited</t>
  </si>
  <si>
    <t>INE522F01014</t>
  </si>
  <si>
    <t>Consumable Fuels</t>
  </si>
  <si>
    <t>ITCL02</t>
  </si>
  <si>
    <t>ITC Limited</t>
  </si>
  <si>
    <t>INE154A01025</t>
  </si>
  <si>
    <t>Diversified FMCG</t>
  </si>
  <si>
    <t>IBCL05</t>
  </si>
  <si>
    <t>ICICI Bank Limited</t>
  </si>
  <si>
    <t>INE090A01021</t>
  </si>
  <si>
    <t>BAJA01</t>
  </si>
  <si>
    <t>Bajaj Holdings &amp; Investment Limited</t>
  </si>
  <si>
    <t>INE118A01012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</si>
  <si>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</si>
  <si>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</si>
  <si>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</si>
  <si>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</si>
  <si>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</si>
  <si>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</si>
  <si>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UTIB02</t>
  </si>
  <si>
    <t>Axis Bank Limited</t>
  </si>
  <si>
    <t>INE238A01034</t>
  </si>
  <si>
    <t>MAUD01</t>
  </si>
  <si>
    <t>Maruti Suzuki India Limited</t>
  </si>
  <si>
    <t>INE585B01010</t>
  </si>
  <si>
    <t>HCLT02</t>
  </si>
  <si>
    <t>INFS02</t>
  </si>
  <si>
    <t>TCSL01</t>
  </si>
  <si>
    <t>DRRL03</t>
  </si>
  <si>
    <t>Dr. Reddy's Laboratories Limited</t>
  </si>
  <si>
    <t>INE089A01031</t>
  </si>
  <si>
    <t>CIPL03</t>
  </si>
  <si>
    <t>Cipla Limited</t>
  </si>
  <si>
    <t>INE059A01026</t>
  </si>
  <si>
    <t>CHEL02</t>
  </si>
  <si>
    <t>Zydus Lifesciences Limited</t>
  </si>
  <si>
    <t>INE010B01027</t>
  </si>
  <si>
    <t>IEEL02</t>
  </si>
  <si>
    <t>Indian Energy Exchange Limited</t>
  </si>
  <si>
    <t>INE022Q01020</t>
  </si>
  <si>
    <t>CNAF02</t>
  </si>
  <si>
    <t>Zydus Wellness Limited</t>
  </si>
  <si>
    <t>INE768C01028</t>
  </si>
  <si>
    <t>Food Products</t>
  </si>
  <si>
    <t>BALI02</t>
  </si>
  <si>
    <t>Balkrishna Industries Limited</t>
  </si>
  <si>
    <t>INE787D01026</t>
  </si>
  <si>
    <t>EIDP03</t>
  </si>
  <si>
    <t>EID Parry India Limited</t>
  </si>
  <si>
    <t>INE126A01031</t>
  </si>
  <si>
    <t>NAHR01</t>
  </si>
  <si>
    <t>Narayana Hrudayalaya Limited</t>
  </si>
  <si>
    <t>INE410P01011</t>
  </si>
  <si>
    <t>Healthcare Services</t>
  </si>
  <si>
    <t>CDSL01</t>
  </si>
  <si>
    <t>Central Depository Services (India)</t>
  </si>
  <si>
    <t>INE736A01011</t>
  </si>
  <si>
    <t>GREA03</t>
  </si>
  <si>
    <t>The Great Eastern Shipping Company Limited</t>
  </si>
  <si>
    <t>INE017A01032</t>
  </si>
  <si>
    <t>Transport Services</t>
  </si>
  <si>
    <t>MCEX02</t>
  </si>
  <si>
    <t>ICRA01</t>
  </si>
  <si>
    <t>ICRA Limited</t>
  </si>
  <si>
    <t>INE725G01011</t>
  </si>
  <si>
    <t>MASC01</t>
  </si>
  <si>
    <t>Maharashtra Scooters Limited</t>
  </si>
  <si>
    <t>INE288A01013</t>
  </si>
  <si>
    <t>BINL01</t>
  </si>
  <si>
    <t>Indus Towers Limited</t>
  </si>
  <si>
    <t>INE121J01017</t>
  </si>
  <si>
    <t>MAAU01</t>
  </si>
  <si>
    <t>CIE Automotive India Limited</t>
  </si>
  <si>
    <t>INE536H01010</t>
  </si>
  <si>
    <t>NESC02</t>
  </si>
  <si>
    <t>Nesco Limited</t>
  </si>
  <si>
    <t>INE317F01035</t>
  </si>
  <si>
    <t>SWEN01</t>
  </si>
  <si>
    <t>Swaraj Engines Limited</t>
  </si>
  <si>
    <t>INE277A01016</t>
  </si>
  <si>
    <t>CMSI01</t>
  </si>
  <si>
    <t>CMS Info System Limited</t>
  </si>
  <si>
    <t>Arbitrage</t>
  </si>
  <si>
    <t>RIND01</t>
  </si>
  <si>
    <t>Reliance Industries Limited</t>
  </si>
  <si>
    <t>INE002A01018</t>
  </si>
  <si>
    <t>Petroleum Products</t>
  </si>
  <si>
    <t>BAFL03</t>
  </si>
  <si>
    <t>SBAI02</t>
  </si>
  <si>
    <t>State Bank of India</t>
  </si>
  <si>
    <t>INE062A01020</t>
  </si>
  <si>
    <t>ZMPL01</t>
  </si>
  <si>
    <t>RELS01</t>
  </si>
  <si>
    <t>Jio Financial Services Limited</t>
  </si>
  <si>
    <t>INE758E01017</t>
  </si>
  <si>
    <t>BHEL02</t>
  </si>
  <si>
    <t>TISC03</t>
  </si>
  <si>
    <t>Tata Steel Limited</t>
  </si>
  <si>
    <t>INE081A01020</t>
  </si>
  <si>
    <t>Ferrous Metals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</si>
  <si>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</si>
  <si>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</si>
  <si>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</si>
  <si>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</si>
  <si>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</si>
  <si>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</si>
  <si>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</si>
  <si>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IND A1+</t>
  </si>
  <si>
    <t>HINI02</t>
  </si>
  <si>
    <t>Hindalco Industries Limited</t>
  </si>
  <si>
    <t>INE038A01020</t>
  </si>
  <si>
    <t>Non - Ferrous Metals</t>
  </si>
  <si>
    <t>SPIL03</t>
  </si>
  <si>
    <t>Sun Pharmaceutical Industries Limited</t>
  </si>
  <si>
    <t>INE044A01036</t>
  </si>
  <si>
    <t>IIBL01</t>
  </si>
  <si>
    <t>DLFL01</t>
  </si>
  <si>
    <t>DLF Limited</t>
  </si>
  <si>
    <t>INE271C01023</t>
  </si>
  <si>
    <t>PUBA02</t>
  </si>
  <si>
    <t>Punjab National Bank</t>
  </si>
  <si>
    <t>INE160A01022</t>
  </si>
  <si>
    <t>BFSL02</t>
  </si>
  <si>
    <t>Bajaj Finserv Limited</t>
  </si>
  <si>
    <t>INE918I01026</t>
  </si>
  <si>
    <t>HALT02</t>
  </si>
  <si>
    <t>NEST02</t>
  </si>
  <si>
    <t>Nestle India Limited</t>
  </si>
  <si>
    <t>INE239A01024</t>
  </si>
  <si>
    <t>VNBL03</t>
  </si>
  <si>
    <t>Varun Beverages Limited</t>
  </si>
  <si>
    <t>INE200M01039</t>
  </si>
  <si>
    <t>Beverages</t>
  </si>
  <si>
    <t>LICH02</t>
  </si>
  <si>
    <t>LIC Housing Finance Limited</t>
  </si>
  <si>
    <t>INE115A01026</t>
  </si>
  <si>
    <t>IDBK01</t>
  </si>
  <si>
    <t>GRAS02</t>
  </si>
  <si>
    <t>Grasim Industries Limited</t>
  </si>
  <si>
    <t>INE047A01021</t>
  </si>
  <si>
    <t>Cement &amp; Cement Products</t>
  </si>
  <si>
    <t>JVSL04</t>
  </si>
  <si>
    <t>JSW Steel Limited</t>
  </si>
  <si>
    <t>INE019A01038</t>
  </si>
  <si>
    <t>DIVI02</t>
  </si>
  <si>
    <t>Divi's Laboratories Limited</t>
  </si>
  <si>
    <t>INE361B01024</t>
  </si>
  <si>
    <t>BKBA02</t>
  </si>
  <si>
    <t>Bank of Baroda</t>
  </si>
  <si>
    <t>INE028A01039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</si>
  <si>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</si>
  <si>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</si>
  <si>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</si>
  <si>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</si>
  <si>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</si>
  <si>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</si>
  <si>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</si>
  <si>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SHTR02</t>
  </si>
  <si>
    <t>NMDC01</t>
  </si>
  <si>
    <t>NMDC Limited</t>
  </si>
  <si>
    <t>INE584A01023</t>
  </si>
  <si>
    <t>Minerals &amp; Mining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</si>
  <si>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</si>
  <si>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</si>
  <si>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</si>
  <si>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</si>
  <si>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</si>
  <si>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</si>
  <si>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</si>
  <si>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BIOC01</t>
  </si>
  <si>
    <t>Biocon Limited</t>
  </si>
  <si>
    <t>INE376G01013</t>
  </si>
  <si>
    <t>LAKM02</t>
  </si>
  <si>
    <t>Trent Limited</t>
  </si>
  <si>
    <t>INE849A01020</t>
  </si>
  <si>
    <t>HPEC01</t>
  </si>
  <si>
    <t>Hindustan Petroleum Corporation Limited</t>
  </si>
  <si>
    <t>INE094A01015</t>
  </si>
  <si>
    <t>BAND01</t>
  </si>
  <si>
    <t>Bandhan Bank Limited</t>
  </si>
  <si>
    <t>INE545U01014</t>
  </si>
  <si>
    <t>GMRI03</t>
  </si>
  <si>
    <t>GMR Airports Limited</t>
  </si>
  <si>
    <t>INE776C01039</t>
  </si>
  <si>
    <t>Transport Infrastructure</t>
  </si>
  <si>
    <t>TEMA02</t>
  </si>
  <si>
    <t>PHFP02</t>
  </si>
  <si>
    <t>PNB Housing Finance Limited</t>
  </si>
  <si>
    <t>INE572E01012</t>
  </si>
  <si>
    <t>AUPH03</t>
  </si>
  <si>
    <t>Aurobindo Pharma Limited</t>
  </si>
  <si>
    <t>INE406A01037</t>
  </si>
  <si>
    <t>IHOT02</t>
  </si>
  <si>
    <t>The Indian Hotels Company Limited</t>
  </si>
  <si>
    <t>INE053A01029</t>
  </si>
  <si>
    <t>Leisure Services</t>
  </si>
  <si>
    <t>DABU02</t>
  </si>
  <si>
    <t>Dabur India Limited</t>
  </si>
  <si>
    <t>INE016A01026</t>
  </si>
  <si>
    <t>Personal Products</t>
  </si>
  <si>
    <t>POCA01</t>
  </si>
  <si>
    <t>Polycab India Limited</t>
  </si>
  <si>
    <t>INE455K01017</t>
  </si>
  <si>
    <t>MCSP02</t>
  </si>
  <si>
    <t>United Spirits Limited</t>
  </si>
  <si>
    <t>INE854D01024</t>
  </si>
  <si>
    <t>TPOW02</t>
  </si>
  <si>
    <t>Tata Power Company Limited</t>
  </si>
  <si>
    <t>INE245A01021</t>
  </si>
  <si>
    <t>GODP02</t>
  </si>
  <si>
    <t>Godrej Properties Limited</t>
  </si>
  <si>
    <t>INE484J01027</t>
  </si>
  <si>
    <t>BHAH02</t>
  </si>
  <si>
    <t>Bharat Heavy Electricals Limited</t>
  </si>
  <si>
    <t>INE257A01026</t>
  </si>
  <si>
    <t>SAIL01</t>
  </si>
  <si>
    <t>Steel Authority of India Limited</t>
  </si>
  <si>
    <t>INE114A01011</t>
  </si>
  <si>
    <t>GAIL01</t>
  </si>
  <si>
    <t>GAIL (India)</t>
  </si>
  <si>
    <t>INE129A01019</t>
  </si>
  <si>
    <t>Gas</t>
  </si>
  <si>
    <t>MACR01</t>
  </si>
  <si>
    <t>Lodha Developers Limited</t>
  </si>
  <si>
    <t>INE670K01029</t>
  </si>
  <si>
    <t>ASPA02</t>
  </si>
  <si>
    <t>Asian Paints Limited</t>
  </si>
  <si>
    <t>INE021A01026</t>
  </si>
  <si>
    <t>JSPL03</t>
  </si>
  <si>
    <t>Jindal Steel Limited</t>
  </si>
  <si>
    <t>INE749A01030</t>
  </si>
  <si>
    <t>Special Situation</t>
  </si>
  <si>
    <t>BTVL02</t>
  </si>
  <si>
    <t>Bharti Airtel Limited Partly Paid</t>
  </si>
  <si>
    <t>(b) Reits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</si>
  <si>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</si>
  <si>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</si>
  <si>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</si>
  <si>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</si>
  <si>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</si>
  <si>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</si>
  <si>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MEBP01</t>
  </si>
  <si>
    <t>Mindspace Business Parks REIT</t>
  </si>
  <si>
    <t>INE0CCU25019</t>
  </si>
  <si>
    <t>(c) Unlisted</t>
  </si>
  <si>
    <t>NIL</t>
  </si>
  <si>
    <t>Equity &amp; Equity related Foreign Investments</t>
  </si>
  <si>
    <t>29798540USD</t>
  </si>
  <si>
    <t>Alphabet Inc A</t>
  </si>
  <si>
    <t>US02079K3059</t>
  </si>
  <si>
    <t>Computer Software: Programming, Data Processing ##</t>
  </si>
  <si>
    <t>14971609USD</t>
  </si>
  <si>
    <t>Meta Platforms Registered Shares A</t>
  </si>
  <si>
    <t>US30303M1027</t>
  </si>
  <si>
    <t>645156USD</t>
  </si>
  <si>
    <t>Amazon Com Inc</t>
  </si>
  <si>
    <t>US0231351067</t>
  </si>
  <si>
    <t>Catalog/Specialty Distribution ##</t>
  </si>
  <si>
    <t>951692USD</t>
  </si>
  <si>
    <t>Microsoft Corp</t>
  </si>
  <si>
    <t>Computer Software: Prepackaged Software ##</t>
  </si>
  <si>
    <t>Certificate of Deposit</t>
  </si>
  <si>
    <t>KMBK889</t>
  </si>
  <si>
    <t>Kotak Mahindra Bank Limited (24/09/2026)</t>
  </si>
  <si>
    <t>INE237AD6042</t>
  </si>
  <si>
    <t>CRISIL A1+</t>
  </si>
  <si>
    <t>UTIB1369</t>
  </si>
  <si>
    <t>Axis Bank Limited (11/08/2026)</t>
  </si>
  <si>
    <t>INE238AD6BD9</t>
  </si>
  <si>
    <t>BKBA537</t>
  </si>
  <si>
    <t>Bank of Baroda (16/09/2026)</t>
  </si>
  <si>
    <t>INE028A16KC6</t>
  </si>
  <si>
    <t>SBAI244</t>
  </si>
  <si>
    <t>State Bank of India (27/03/2026)</t>
  </si>
  <si>
    <t>INE062A16614</t>
  </si>
  <si>
    <t>CANB1067</t>
  </si>
  <si>
    <t>Canara Bank (12/06/2026)</t>
  </si>
  <si>
    <t>INE476A16E20</t>
  </si>
  <si>
    <t>UNBI444</t>
  </si>
  <si>
    <t>Union Bank of India (25/06/2026) #</t>
  </si>
  <si>
    <t>INE692A16JQ1</t>
  </si>
  <si>
    <t>ICRA A1+</t>
  </si>
  <si>
    <t>HDFB1013</t>
  </si>
  <si>
    <t>HDFC Bank Limited (10/09/2026)</t>
  </si>
  <si>
    <t>INE040A16HL8</t>
  </si>
  <si>
    <t>NBAR865</t>
  </si>
  <si>
    <t>National Bank For Agriculture and Rural Development (18/09/2026)</t>
  </si>
  <si>
    <t>INE261F16AB5</t>
  </si>
  <si>
    <t>KMBK893</t>
  </si>
  <si>
    <t>Kotak Mahindra Bank Limited (18/12/2026)</t>
  </si>
  <si>
    <t>INE237AD6109</t>
  </si>
  <si>
    <t>SIDB604</t>
  </si>
  <si>
    <t>Small Industries Dev Bank of India (05/05/2026)</t>
  </si>
  <si>
    <t>INE556F16BH3</t>
  </si>
  <si>
    <t>CANB1078</t>
  </si>
  <si>
    <t>Canara Bank (18/12/2026)</t>
  </si>
  <si>
    <t>INE476A16F78</t>
  </si>
  <si>
    <t>PUBA1112</t>
  </si>
  <si>
    <t>Punjab National Bank (20/03/2026)</t>
  </si>
  <si>
    <t>INE160A16RM1</t>
  </si>
  <si>
    <t>HDFB1006</t>
  </si>
  <si>
    <t>HDFC Bank Limited (24/06/2026)</t>
  </si>
  <si>
    <t>INE040A16HB9</t>
  </si>
  <si>
    <t>CANB1068</t>
  </si>
  <si>
    <t>Canara Bank (11/11/2026)</t>
  </si>
  <si>
    <t>INE476A16E38</t>
  </si>
  <si>
    <t>UNBI459</t>
  </si>
  <si>
    <t>Union Bank of India (12/06/2026)</t>
  </si>
  <si>
    <t>INE692A16KP1</t>
  </si>
  <si>
    <t>INBK489</t>
  </si>
  <si>
    <t>Indian Bank (12/06/2026)</t>
  </si>
  <si>
    <t>INE562A16PB5</t>
  </si>
  <si>
    <t>BKBA519</t>
  </si>
  <si>
    <t>Bank of Baroda (23/07/2026) #</t>
  </si>
  <si>
    <t>INE028A16JF1</t>
  </si>
  <si>
    <t>UTIB1357</t>
  </si>
  <si>
    <t>Axis Bank Limited (11/06/2026)</t>
  </si>
  <si>
    <t>INE238AD6AT7</t>
  </si>
  <si>
    <t>INBK492</t>
  </si>
  <si>
    <t>Indian Bank (28/07/2026) #</t>
  </si>
  <si>
    <t>INE562A16PE9</t>
  </si>
  <si>
    <t>SIDB618</t>
  </si>
  <si>
    <t>Small Industries Dev Bank of India (24/09/2026)</t>
  </si>
  <si>
    <t>INE556F16BK7</t>
  </si>
  <si>
    <t>SIDB619</t>
  </si>
  <si>
    <t>Small Industries Dev Bank of India (13/10/2026)</t>
  </si>
  <si>
    <t>INE556F16BL5</t>
  </si>
  <si>
    <t>INBK507</t>
  </si>
  <si>
    <t>Indian Bank (30/10/2026)</t>
  </si>
  <si>
    <t>INE562A16PU5</t>
  </si>
  <si>
    <t>UNBI466</t>
  </si>
  <si>
    <t>Union Bank of India (19/01/2027)</t>
  </si>
  <si>
    <t>INE692A16KU1</t>
  </si>
  <si>
    <t>INBK516</t>
  </si>
  <si>
    <t>Indian Bank (22/01/2027)</t>
  </si>
  <si>
    <t>INE562A16QG2</t>
  </si>
  <si>
    <t>UNBI460</t>
  </si>
  <si>
    <t>Union Bank of India (18/03/2026)</t>
  </si>
  <si>
    <t>INE692A16KN6</t>
  </si>
  <si>
    <t>BKBA541</t>
  </si>
  <si>
    <t>Bank of Baroda (16/10/2026)</t>
  </si>
  <si>
    <t>INE028A16KE2</t>
  </si>
  <si>
    <t>NBAR871</t>
  </si>
  <si>
    <t>National Bank For Agriculture and Rural Development (19/01/2027)</t>
  </si>
  <si>
    <t>INE261F16AE9</t>
  </si>
  <si>
    <t>NBAR870</t>
  </si>
  <si>
    <t>National Bank For Agriculture and Rural Development (14/01/2027)</t>
  </si>
  <si>
    <t>INE261F16AD1</t>
  </si>
  <si>
    <t>INBK467</t>
  </si>
  <si>
    <t>Indian Bank (06/03/2026)</t>
  </si>
  <si>
    <t>INE562A16OG7</t>
  </si>
  <si>
    <t>INBK477</t>
  </si>
  <si>
    <t>Indian Bank (06/05/2026)</t>
  </si>
  <si>
    <t>INE562A16OS2</t>
  </si>
  <si>
    <t>KMBK892</t>
  </si>
  <si>
    <t>Kotak Mahindra Bank Limited (25/05/2026)</t>
  </si>
  <si>
    <t>INE237AD6083</t>
  </si>
  <si>
    <t>HDFB1016</t>
  </si>
  <si>
    <t>HDFC Bank Limited (12/06/2026)</t>
  </si>
  <si>
    <t>INE040A16HP9</t>
  </si>
  <si>
    <t>CARE A1+</t>
  </si>
  <si>
    <t>UTIB1358</t>
  </si>
  <si>
    <t>Axis Bank Limited (12/06/2026)</t>
  </si>
  <si>
    <t>INE238AD6AU5</t>
  </si>
  <si>
    <t>BKBA559</t>
  </si>
  <si>
    <t>Bank of Baroda (15/12/2026)</t>
  </si>
  <si>
    <t>INE028A16KW4</t>
  </si>
  <si>
    <t>PUBA1138</t>
  </si>
  <si>
    <t>Punjab National Bank (15/12/2026)</t>
  </si>
  <si>
    <t>INE160A16TZ9</t>
  </si>
  <si>
    <t>KMBK894</t>
  </si>
  <si>
    <t>Kotak Mahindra Bank Limited (08/01/2027)</t>
  </si>
  <si>
    <t>INE237AD6117</t>
  </si>
  <si>
    <t>CANB1081</t>
  </si>
  <si>
    <t>Canara Bank (12/01/2027)</t>
  </si>
  <si>
    <t>INE476A16G02</t>
  </si>
  <si>
    <t>UTIB1385</t>
  </si>
  <si>
    <t>Axis Bank Limited (14/01/2027) #</t>
  </si>
  <si>
    <t>INE238AD6BW9</t>
  </si>
  <si>
    <t>IBCL1180</t>
  </si>
  <si>
    <t>ICICI Bank Limited (27/01/2027)</t>
  </si>
  <si>
    <t>INE090AD6279</t>
  </si>
  <si>
    <t>PUBA1136</t>
  </si>
  <si>
    <t>Punjab National Bank (24/03/2026)</t>
  </si>
  <si>
    <t>INE160A16TW6</t>
  </si>
  <si>
    <t>HDFB996</t>
  </si>
  <si>
    <t>HDFC Bank Limited (24/03/2026) #</t>
  </si>
  <si>
    <t>INE040A16GS5</t>
  </si>
  <si>
    <t>UTIB1363</t>
  </si>
  <si>
    <t>Axis Bank Limited (25/06/2026)</t>
  </si>
  <si>
    <t>INE238AD6AZ4</t>
  </si>
  <si>
    <t>BKBA548</t>
  </si>
  <si>
    <t>Bank of Baroda (25/11/2026)</t>
  </si>
  <si>
    <t>INE028A16KK9</t>
  </si>
  <si>
    <t>SIDB642</t>
  </si>
  <si>
    <t>Small Industries Dev Bank of India (16/12/2026)</t>
  </si>
  <si>
    <t>INE556F16BT8</t>
  </si>
  <si>
    <t>UNBI469</t>
  </si>
  <si>
    <t>Union Bank of India (23/04/2026)</t>
  </si>
  <si>
    <t>INE692A16KX5</t>
  </si>
  <si>
    <t>PUBA1137</t>
  </si>
  <si>
    <t>Punjab National Bank (12/06/2026)</t>
  </si>
  <si>
    <t>INE160A16UA0</t>
  </si>
  <si>
    <t>SIDB611</t>
  </si>
  <si>
    <t>Small Industries Dev Bank of India (09/07/2026)</t>
  </si>
  <si>
    <t>INE556F16BJ9</t>
  </si>
  <si>
    <t>NBAR872</t>
  </si>
  <si>
    <t>National Bank For Agriculture and Rural Development (22/01/2027) #</t>
  </si>
  <si>
    <t>INE261F16AF6</t>
  </si>
  <si>
    <t>NBAR874</t>
  </si>
  <si>
    <t>National Bank For Agriculture and Rural Development (28/01/2027)</t>
  </si>
  <si>
    <t>INE261F16AH2</t>
  </si>
  <si>
    <t>HDFB1002</t>
  </si>
  <si>
    <t>HDFC Bank Limited (19/05/2026)</t>
  </si>
  <si>
    <t>INE040A16GW7</t>
  </si>
  <si>
    <t>BKBA530</t>
  </si>
  <si>
    <t>Bank of Baroda (25/05/2026) #</t>
  </si>
  <si>
    <t>INE028A16JR6</t>
  </si>
  <si>
    <t>UTIB1367</t>
  </si>
  <si>
    <t>Axis Bank Limited (10/08/2026)</t>
  </si>
  <si>
    <t>INE238AD6BC1</t>
  </si>
  <si>
    <t>HDFB1031</t>
  </si>
  <si>
    <t>HDFC Bank Limited (21/09/2026)</t>
  </si>
  <si>
    <t>INE040A16HR5</t>
  </si>
  <si>
    <t>HDFB1022</t>
  </si>
  <si>
    <t>HDFC Bank Limited (13/11/2026)</t>
  </si>
  <si>
    <t>INE040A16HW5</t>
  </si>
  <si>
    <t>SIDB630</t>
  </si>
  <si>
    <t>Small Industries Dev Bank of India (10/11/2026) #</t>
  </si>
  <si>
    <t>INE556F16BR2</t>
  </si>
  <si>
    <t>HDFB1034</t>
  </si>
  <si>
    <t>HDFC Bank Limited (22/01/2027) #</t>
  </si>
  <si>
    <t>INE040A16IK8</t>
  </si>
  <si>
    <t>PUBA1130</t>
  </si>
  <si>
    <t>Punjab National Bank (26/02/2026)</t>
  </si>
  <si>
    <t>INE160A16TO3</t>
  </si>
  <si>
    <t>PUBA1090</t>
  </si>
  <si>
    <t>Punjab National Bank (18/03/2026) #</t>
  </si>
  <si>
    <t>INE160A16RK5</t>
  </si>
  <si>
    <t>UTIB1381</t>
  </si>
  <si>
    <t>Axis Bank Limited (27/11/2026)</t>
  </si>
  <si>
    <t>INE238AD6BP3</t>
  </si>
  <si>
    <t>Commercial Paper</t>
  </si>
  <si>
    <t>NBAR861</t>
  </si>
  <si>
    <t>National Bank For Agriculture and Rural Development (25/06/2026)</t>
  </si>
  <si>
    <t>INE261F14OH8</t>
  </si>
  <si>
    <t>BAFL981</t>
  </si>
  <si>
    <t>Bajaj Finance Limited (18/06/2026)</t>
  </si>
  <si>
    <t>INE296A14A81</t>
  </si>
  <si>
    <t>BAFL975</t>
  </si>
  <si>
    <t>Bajaj Finance Limited (06/05/2026)</t>
  </si>
  <si>
    <t>INE296A14A32</t>
  </si>
  <si>
    <t>BAFL978</t>
  </si>
  <si>
    <t>Bajaj Finance Limited (26/05/2026)</t>
  </si>
  <si>
    <t>INE296A14A73</t>
  </si>
  <si>
    <t>ICBR637</t>
  </si>
  <si>
    <t>ICICI Securities Limited (15/06/2026)</t>
  </si>
  <si>
    <t>INE763G14C53</t>
  </si>
  <si>
    <t>KOSE364</t>
  </si>
  <si>
    <t>Kotak Securities Limited (13/02/2026)</t>
  </si>
  <si>
    <t>INE028E14TO9</t>
  </si>
  <si>
    <t>BAFL976</t>
  </si>
  <si>
    <t>Bajaj Finance Limited (07/05/2026)</t>
  </si>
  <si>
    <t>INE296A14A40</t>
  </si>
  <si>
    <t>Treasury Bill</t>
  </si>
  <si>
    <t>TBIL2576</t>
  </si>
  <si>
    <t>364 Days Tbill (MD 15/10/2026)</t>
  </si>
  <si>
    <t>IN002025Z294</t>
  </si>
  <si>
    <t>Sovereign</t>
  </si>
  <si>
    <t>TBIL2611</t>
  </si>
  <si>
    <t>364 Days Tbill (MD 15/01/2027)</t>
  </si>
  <si>
    <t>IN002025Z419</t>
  </si>
  <si>
    <t>TBIL2542</t>
  </si>
  <si>
    <t>364 Days Tbill (MD 30/07/2026)</t>
  </si>
  <si>
    <t>IN002025Z187</t>
  </si>
  <si>
    <t>TBIL2499</t>
  </si>
  <si>
    <t>364 Days Tbill (MD 16/04/2026)</t>
  </si>
  <si>
    <t>IN002025Z039</t>
  </si>
  <si>
    <t>Mutual Fund Units</t>
  </si>
  <si>
    <t>143269</t>
  </si>
  <si>
    <t>Parag Parikh Liquid Fund- Direct Plan- Growth</t>
  </si>
  <si>
    <t>INF879O01068</t>
  </si>
  <si>
    <t xml:space="preserve"> </t>
  </si>
  <si>
    <t>Reverse Repo / TREPS</t>
  </si>
  <si>
    <t>TRP_020226</t>
  </si>
  <si>
    <t>CANARA ROBECO LARGE AND MID CAP FUND</t>
  </si>
  <si>
    <t>Market/Fair Value
 (Rs. in Lacs)</t>
  </si>
  <si>
    <t xml:space="preserve">Market Capitalization </t>
  </si>
  <si>
    <t>Yield %</t>
  </si>
  <si>
    <t>ICICI Bank Ltd</t>
  </si>
  <si>
    <t>Large Cap</t>
  </si>
  <si>
    <t>Indian Hotels Co Ltd</t>
  </si>
  <si>
    <t>Federal Bank Ltd</t>
  </si>
  <si>
    <t>INE171A01029</t>
  </si>
  <si>
    <t>Mid Cap</t>
  </si>
  <si>
    <t>TVS Motor Co Ltd</t>
  </si>
  <si>
    <t>Bharat Electronics Ltd</t>
  </si>
  <si>
    <t>Uno Minda Ltd</t>
  </si>
  <si>
    <t>INE405E01023</t>
  </si>
  <si>
    <t>KPIT Technologies Ltd</t>
  </si>
  <si>
    <t>Small Cap</t>
  </si>
  <si>
    <t>Eternal Ltd</t>
  </si>
  <si>
    <t>Mahindra &amp; Mahindra Ltd</t>
  </si>
  <si>
    <t>Trent Ltd</t>
  </si>
  <si>
    <t>Dixon Technologies (India) Ltd</t>
  </si>
  <si>
    <t>Tata Consumer Products Ltd</t>
  </si>
  <si>
    <t>Agricultural Food &amp; Other Products</t>
  </si>
  <si>
    <t>Max Healthcare Institute Ltd</t>
  </si>
  <si>
    <t>INE027H01010</t>
  </si>
  <si>
    <t>Torrent Power Ltd</t>
  </si>
  <si>
    <t>INE813H01021</t>
  </si>
  <si>
    <t>Abbott India Ltd</t>
  </si>
  <si>
    <t>INE358A01014</t>
  </si>
  <si>
    <t>Bharti Airtel Ltd</t>
  </si>
  <si>
    <t>Cholamandalam Investment and Finance Co Ltd</t>
  </si>
  <si>
    <t>J.K. Cement Ltd</t>
  </si>
  <si>
    <t>INE823G01014</t>
  </si>
  <si>
    <t>Tata Power Co Ltd</t>
  </si>
  <si>
    <t>EIH Ltd</t>
  </si>
  <si>
    <t>INE230A01023</t>
  </si>
  <si>
    <t>PI Industries Ltd</t>
  </si>
  <si>
    <t>INE603J01030</t>
  </si>
  <si>
    <t>Fertilizers &amp; Agrochemicals</t>
  </si>
  <si>
    <t>Vishal Mega Mart Ltd</t>
  </si>
  <si>
    <t>INE01EA01019</t>
  </si>
  <si>
    <t>Bajaj Finance Ltd</t>
  </si>
  <si>
    <t>APL Apollo Tubes Ltd</t>
  </si>
  <si>
    <t>INE702C01027</t>
  </si>
  <si>
    <t>Persistent Systems Ltd</t>
  </si>
  <si>
    <t>Multi Commodity Exchange Of India Ltd</t>
  </si>
  <si>
    <t>Coforge Ltd</t>
  </si>
  <si>
    <t>PB Fintech Ltd</t>
  </si>
  <si>
    <t>Ge Vernova T&amp;D India Ltd</t>
  </si>
  <si>
    <t>Oberoi Realty Ltd</t>
  </si>
  <si>
    <t>INE093I01010</t>
  </si>
  <si>
    <t>Solar Industries India Ltd</t>
  </si>
  <si>
    <t>INE343H01029</t>
  </si>
  <si>
    <t>Ajanta Pharma Ltd</t>
  </si>
  <si>
    <t>INE031B01049</t>
  </si>
  <si>
    <t>Global Health Ltd</t>
  </si>
  <si>
    <t>INE474Q01031</t>
  </si>
  <si>
    <t>3M India Ltd</t>
  </si>
  <si>
    <t>INE470A01017</t>
  </si>
  <si>
    <t>Diversified</t>
  </si>
  <si>
    <t>United Breweries Ltd</t>
  </si>
  <si>
    <t>INE686F01025</t>
  </si>
  <si>
    <t>Bharat Forge Ltd</t>
  </si>
  <si>
    <t>INE465A01025</t>
  </si>
  <si>
    <t>Sona Blw Precision Forgings Ltd</t>
  </si>
  <si>
    <t>INE073K01018</t>
  </si>
  <si>
    <t>ABB India Ltd</t>
  </si>
  <si>
    <t>INE117A01022</t>
  </si>
  <si>
    <t>Suzlon Energy Ltd</t>
  </si>
  <si>
    <t>Praj Industries Ltd</t>
  </si>
  <si>
    <t>INE074A01025</t>
  </si>
  <si>
    <t>Industrial Manufacturing</t>
  </si>
  <si>
    <t>Divi's Laboratories Ltd</t>
  </si>
  <si>
    <t>Vinati Organics Ltd</t>
  </si>
  <si>
    <t>INE410B01037</t>
  </si>
  <si>
    <t>Varun Beverages Ltd</t>
  </si>
  <si>
    <t>Aditya Birla Real Estate Ltd</t>
  </si>
  <si>
    <t>INE055A01016</t>
  </si>
  <si>
    <t>Paper, Forest &amp; Jute Products</t>
  </si>
  <si>
    <t>ITC Hotels Ltd</t>
  </si>
  <si>
    <t>INE379A01028</t>
  </si>
  <si>
    <t>Sun Pharmaceutical Industries Ltd</t>
  </si>
  <si>
    <t>Lupin Ltd</t>
  </si>
  <si>
    <t>Bata India Ltd</t>
  </si>
  <si>
    <t>INE176A01028</t>
  </si>
  <si>
    <t>Bharti Hexacom Ltd</t>
  </si>
  <si>
    <t>INE343G01021</t>
  </si>
  <si>
    <t>Radico Khaitan Ltd</t>
  </si>
  <si>
    <t>INE944F01028</t>
  </si>
  <si>
    <t>Crompton Greaves Consumer Electricals Ltd</t>
  </si>
  <si>
    <t>INE299U01018</t>
  </si>
  <si>
    <t>Hindustan Aeronautics Ltd</t>
  </si>
  <si>
    <t>ZF Commercial Vehicle Control Systems India Ltd</t>
  </si>
  <si>
    <t>INE342J01019</t>
  </si>
  <si>
    <t>Britannia Industries Ltd</t>
  </si>
  <si>
    <t>INE216A01030</t>
  </si>
  <si>
    <t>Creditaccess Grameen Ltd</t>
  </si>
  <si>
    <t>INE741K01010</t>
  </si>
  <si>
    <t>LG Electronics India Ltd</t>
  </si>
  <si>
    <t>INE324D01010</t>
  </si>
  <si>
    <t>United Spirits Ltd</t>
  </si>
  <si>
    <t>Blue Dart Express Ltd</t>
  </si>
  <si>
    <t>INE233B01017</t>
  </si>
  <si>
    <t>K.P.R. Mill Ltd</t>
  </si>
  <si>
    <t>INE930H01031</t>
  </si>
  <si>
    <t>Textiles &amp; Apparels</t>
  </si>
  <si>
    <t>Tech Mahindra Ltd</t>
  </si>
  <si>
    <t>Titan Co Ltd</t>
  </si>
  <si>
    <t>CG Power and Industrial Solutions Ltd</t>
  </si>
  <si>
    <t>One 97 Communications Ltd</t>
  </si>
  <si>
    <t>Jubilant Foodworks Ltd</t>
  </si>
  <si>
    <t>INE797F01020</t>
  </si>
  <si>
    <t>Central Depository Services (India) Ltd</t>
  </si>
  <si>
    <t>Indian Bank</t>
  </si>
  <si>
    <t>INE562A01011</t>
  </si>
  <si>
    <t>Schaeffler India Ltd</t>
  </si>
  <si>
    <t>INE513A01022</t>
  </si>
  <si>
    <t>Linde India Ltd</t>
  </si>
  <si>
    <t>INE473A01011</t>
  </si>
  <si>
    <t>Container Corporation Of India Ltd</t>
  </si>
  <si>
    <t>INE111A01025</t>
  </si>
  <si>
    <t>Mrs Bectors Food Specialities Ltd</t>
  </si>
  <si>
    <t>INE495P01020</t>
  </si>
  <si>
    <t>Bajaj Auto Ltd</t>
  </si>
  <si>
    <t>INE917I01010</t>
  </si>
  <si>
    <t>Shree Cement Ltd</t>
  </si>
  <si>
    <t>INE070A01015</t>
  </si>
  <si>
    <t>Bajaj Finserv Ltd</t>
  </si>
  <si>
    <t>Navin Fluorine International Ltd</t>
  </si>
  <si>
    <t>INE048G01026</t>
  </si>
  <si>
    <t>Cello World Ltd</t>
  </si>
  <si>
    <t>INE0LMW01024</t>
  </si>
  <si>
    <t>Interglobe Aviation Ltd</t>
  </si>
  <si>
    <t>INE646L01027</t>
  </si>
  <si>
    <t>SRF Ltd</t>
  </si>
  <si>
    <t>INE647A01010</t>
  </si>
  <si>
    <t>Kajaria Ceramics Ltd</t>
  </si>
  <si>
    <t>INE217B01036</t>
  </si>
  <si>
    <t>Computer Age Management Services Ltd</t>
  </si>
  <si>
    <t>INE596I01020</t>
  </si>
  <si>
    <t>Carborundum Universal Ltd</t>
  </si>
  <si>
    <t>INE120A01034</t>
  </si>
  <si>
    <t>ICICI Lombard General Insurance Co Ltd</t>
  </si>
  <si>
    <t>INE765G01017</t>
  </si>
  <si>
    <t>Insurance</t>
  </si>
  <si>
    <t>KNR Constructions Ltd</t>
  </si>
  <si>
    <t>INE634I01029</t>
  </si>
  <si>
    <t>Thermax Ltd</t>
  </si>
  <si>
    <t>INE152A01029</t>
  </si>
  <si>
    <t>Berger Paints India Ltd</t>
  </si>
  <si>
    <t>INE463A01038</t>
  </si>
  <si>
    <t>Tips Music Ltd</t>
  </si>
  <si>
    <t>INE716B01029</t>
  </si>
  <si>
    <t>Entertainment</t>
  </si>
  <si>
    <t>TCI Express Ltd</t>
  </si>
  <si>
    <t>INE586V01016</t>
  </si>
  <si>
    <t>Deepak Nitrite Ltd</t>
  </si>
  <si>
    <t>INE288B01029</t>
  </si>
  <si>
    <t>Zee Entertainment Enterprises Ltd</t>
  </si>
  <si>
    <t>INE256A01028</t>
  </si>
  <si>
    <t>HDB Financial Services Ltd</t>
  </si>
  <si>
    <t>INE756I01012</t>
  </si>
  <si>
    <t>Premier Energies Ltd</t>
  </si>
  <si>
    <t>Doms Industries Ltd</t>
  </si>
  <si>
    <t>INE321T01012</t>
  </si>
  <si>
    <t>Household Products</t>
  </si>
  <si>
    <t>Mankind Pharma Ltd</t>
  </si>
  <si>
    <t>INE634S01028</t>
  </si>
  <si>
    <t>Cochin Shipyard Ltd</t>
  </si>
  <si>
    <t>INE704P01025</t>
  </si>
  <si>
    <t>Nippon Life India Asset Management Ltd</t>
  </si>
  <si>
    <t>INE298J01013</t>
  </si>
  <si>
    <t>Escorts Kubota Ltd</t>
  </si>
  <si>
    <t>INE042A01014</t>
  </si>
  <si>
    <t>Agricultural, Commercial &amp; Construction Vehicles</t>
  </si>
  <si>
    <t>HDFC Bank Ltd</t>
  </si>
  <si>
    <t>Debt Instruments</t>
  </si>
  <si>
    <t>6.00% TVS Motor Co Ltd NCRPS **</t>
  </si>
  <si>
    <t>INE494B04019</t>
  </si>
  <si>
    <t>TREPS</t>
  </si>
  <si>
    <t>Grand Total</t>
  </si>
  <si>
    <t>Mirae Asset Large &amp; Midcap Fund</t>
  </si>
  <si>
    <t>(Large &amp; Mid Cap Fund - An open ended equity scheme investing in both large cap and mid cap stocks)</t>
  </si>
  <si>
    <t>MI005</t>
  </si>
  <si>
    <t>Industry ^/ Rating</t>
  </si>
  <si>
    <t>Market/Fair Value 
(Rs. in Lacs)</t>
  </si>
  <si>
    <t>YTM</t>
  </si>
  <si>
    <t>EQUITY &amp; EQUITY RELATED</t>
  </si>
  <si>
    <t>100006</t>
  </si>
  <si>
    <t>HDFC Bank Ltd.</t>
  </si>
  <si>
    <t>100012</t>
  </si>
  <si>
    <t>ICICI Bank Ltd.</t>
  </si>
  <si>
    <t>100024</t>
  </si>
  <si>
    <t>Axis Bank Ltd.</t>
  </si>
  <si>
    <t>100010</t>
  </si>
  <si>
    <t>100032</t>
  </si>
  <si>
    <t>Tata Consultancy Services Ltd.</t>
  </si>
  <si>
    <t>100005</t>
  </si>
  <si>
    <t>Larsen &amp; Toubro Ltd.</t>
  </si>
  <si>
    <t>100028</t>
  </si>
  <si>
    <t>Lupin Ltd.</t>
  </si>
  <si>
    <t>100013</t>
  </si>
  <si>
    <t>IndusInd Bank Ltd.</t>
  </si>
  <si>
    <t>100179</t>
  </si>
  <si>
    <t>Hero MotoCorp Ltd.</t>
  </si>
  <si>
    <t>INE158A01026</t>
  </si>
  <si>
    <t>100090</t>
  </si>
  <si>
    <t>Bharat Forge Ltd.</t>
  </si>
  <si>
    <t>100003</t>
  </si>
  <si>
    <t>Infosys Ltd.</t>
  </si>
  <si>
    <t>100566</t>
  </si>
  <si>
    <t>Laurus Labs Ltd.</t>
  </si>
  <si>
    <t>INE947Q01028</t>
  </si>
  <si>
    <t>101553</t>
  </si>
  <si>
    <t>Delhivery Ltd.</t>
  </si>
  <si>
    <t>INE148O01028</t>
  </si>
  <si>
    <t>101313</t>
  </si>
  <si>
    <t>Eternal Ltd.</t>
  </si>
  <si>
    <t>100002</t>
  </si>
  <si>
    <t>Reliance Industries Ltd.</t>
  </si>
  <si>
    <t>100315</t>
  </si>
  <si>
    <t>Prestige Estates Projects Ltd.</t>
  </si>
  <si>
    <t>100019</t>
  </si>
  <si>
    <t>ITC Ltd.</t>
  </si>
  <si>
    <t>100465</t>
  </si>
  <si>
    <t>Interglobe Aviation Ltd.</t>
  </si>
  <si>
    <t>100018</t>
  </si>
  <si>
    <t>Tata Communications Ltd.</t>
  </si>
  <si>
    <t>INE151A01013</t>
  </si>
  <si>
    <t>102449</t>
  </si>
  <si>
    <t>Swiggy Ltd.</t>
  </si>
  <si>
    <t>100843</t>
  </si>
  <si>
    <t>Dalmia Bharat Ltd.</t>
  </si>
  <si>
    <t>INE00R701025</t>
  </si>
  <si>
    <t>101390</t>
  </si>
  <si>
    <t>PB Fintech Ltd.</t>
  </si>
  <si>
    <t>100236</t>
  </si>
  <si>
    <t>L&amp;T Finance Ltd.</t>
  </si>
  <si>
    <t>INE498L01015</t>
  </si>
  <si>
    <t>100119</t>
  </si>
  <si>
    <t>Tata Motors Passenger Vehicles Ltd.</t>
  </si>
  <si>
    <t>INE155A01022</t>
  </si>
  <si>
    <t>100055</t>
  </si>
  <si>
    <t>The Federal Bank Ltd.</t>
  </si>
  <si>
    <t>100011</t>
  </si>
  <si>
    <t>Wipro Ltd.</t>
  </si>
  <si>
    <t>INE075A01022</t>
  </si>
  <si>
    <t>101200</t>
  </si>
  <si>
    <t>Gland Pharma Ltd.</t>
  </si>
  <si>
    <t>INE068V01023</t>
  </si>
  <si>
    <t>100417</t>
  </si>
  <si>
    <t>CEAT Ltd.</t>
  </si>
  <si>
    <t>INE482A01020</t>
  </si>
  <si>
    <t>100184</t>
  </si>
  <si>
    <t>Tata Steel Ltd.</t>
  </si>
  <si>
    <t>100270</t>
  </si>
  <si>
    <t>PI Industries Ltd.</t>
  </si>
  <si>
    <t>100474</t>
  </si>
  <si>
    <t>Narayana Hrudayalaya Ltd.</t>
  </si>
  <si>
    <t>100223</t>
  </si>
  <si>
    <t>United Spirits Ltd.</t>
  </si>
  <si>
    <t>102127</t>
  </si>
  <si>
    <t>GO Digit General Insurance Ltd.</t>
  </si>
  <si>
    <t>INE03JT01014</t>
  </si>
  <si>
    <t>100266</t>
  </si>
  <si>
    <t>Gujarat State Petronet Ltd.</t>
  </si>
  <si>
    <t>INE246F01010</t>
  </si>
  <si>
    <t>100181</t>
  </si>
  <si>
    <t>NTPC Ltd.</t>
  </si>
  <si>
    <t>INE733E01010</t>
  </si>
  <si>
    <t>100150</t>
  </si>
  <si>
    <t>Apollo Hospitals Enterprise Ltd.</t>
  </si>
  <si>
    <t>INE437A01024</t>
  </si>
  <si>
    <t>100292</t>
  </si>
  <si>
    <t>Steel Authority of India Ltd.</t>
  </si>
  <si>
    <t>100814</t>
  </si>
  <si>
    <t>HDFC Asset Management Co. Ltd.</t>
  </si>
  <si>
    <t>INE127D01025</t>
  </si>
  <si>
    <t>101378</t>
  </si>
  <si>
    <t>FSN E-Commerce Ventures Ltd.</t>
  </si>
  <si>
    <t>INE388Y01029</t>
  </si>
  <si>
    <t>102610</t>
  </si>
  <si>
    <t>HDB Financial Services Ltd.</t>
  </si>
  <si>
    <t>100104</t>
  </si>
  <si>
    <t>Kotak Mahindra Bank Ltd.</t>
  </si>
  <si>
    <t>100086</t>
  </si>
  <si>
    <t>Bata India Ltd.</t>
  </si>
  <si>
    <t>100185</t>
  </si>
  <si>
    <t>Tata Power Company Ltd.</t>
  </si>
  <si>
    <t>100096</t>
  </si>
  <si>
    <t>Container Corporation of India Ltd.</t>
  </si>
  <si>
    <t>100008</t>
  </si>
  <si>
    <t>Sun Pharmaceutical Industries Ltd.</t>
  </si>
  <si>
    <t>100144</t>
  </si>
  <si>
    <t>Voltas Ltd.</t>
  </si>
  <si>
    <t>INE226A01021</t>
  </si>
  <si>
    <t>102687</t>
  </si>
  <si>
    <t>SKF India (Industrial) Ltd.</t>
  </si>
  <si>
    <t>INE2J8701016</t>
  </si>
  <si>
    <t>100095</t>
  </si>
  <si>
    <t>Bharti Airtel Ltd.</t>
  </si>
  <si>
    <t>100435</t>
  </si>
  <si>
    <t>Crompton Greaves Consumer Electricals Ltd.</t>
  </si>
  <si>
    <t>100100</t>
  </si>
  <si>
    <t>Hindustan Petroleum Corporation Ltd.</t>
  </si>
  <si>
    <t>100088</t>
  </si>
  <si>
    <t>Bharat Heavy Electricals Ltd.</t>
  </si>
  <si>
    <t>100161</t>
  </si>
  <si>
    <t>Cummins India Ltd.</t>
  </si>
  <si>
    <t>INE298A01020</t>
  </si>
  <si>
    <t>100370</t>
  </si>
  <si>
    <t>Biocon Ltd.</t>
  </si>
  <si>
    <t>100026</t>
  </si>
  <si>
    <t>Persistent Systems Ltd.</t>
  </si>
  <si>
    <t>100939</t>
  </si>
  <si>
    <t>Gujarat Fluorochemicals Ltd.</t>
  </si>
  <si>
    <t>100243</t>
  </si>
  <si>
    <t>Multi Commodity Exchange of India Ltd.</t>
  </si>
  <si>
    <t>100362</t>
  </si>
  <si>
    <t>JSW Energy Ltd.</t>
  </si>
  <si>
    <t>INE121E01018</t>
  </si>
  <si>
    <t>100872</t>
  </si>
  <si>
    <t>KPIT Technologies Ltd.</t>
  </si>
  <si>
    <t>100194</t>
  </si>
  <si>
    <t>Power Finance Corporation Ltd.</t>
  </si>
  <si>
    <t>INE134E01011</t>
  </si>
  <si>
    <t>100434</t>
  </si>
  <si>
    <t>Century Plyboards (India) Ltd.</t>
  </si>
  <si>
    <t>INE348B01021</t>
  </si>
  <si>
    <t>100469</t>
  </si>
  <si>
    <t>Syngene International Ltd.</t>
  </si>
  <si>
    <t>INE398R01022</t>
  </si>
  <si>
    <t>100314</t>
  </si>
  <si>
    <t>SRF Ltd.</t>
  </si>
  <si>
    <t>100344</t>
  </si>
  <si>
    <t>MRF Ltd.</t>
  </si>
  <si>
    <t>INE883A01011</t>
  </si>
  <si>
    <t>101668</t>
  </si>
  <si>
    <t>AWL Agri Business Ltd.</t>
  </si>
  <si>
    <t>INE699H01024</t>
  </si>
  <si>
    <t>100183</t>
  </si>
  <si>
    <t>Vedanta Ltd.</t>
  </si>
  <si>
    <t>100042</t>
  </si>
  <si>
    <t>LIC Housing Finance Ltd.</t>
  </si>
  <si>
    <t>100237</t>
  </si>
  <si>
    <t>SKF India Ltd.</t>
  </si>
  <si>
    <t>INE640A01023</t>
  </si>
  <si>
    <t>100201</t>
  </si>
  <si>
    <t>Aurobindo Pharma Ltd.</t>
  </si>
  <si>
    <t>101396</t>
  </si>
  <si>
    <t>One 97 Communications Ltd.</t>
  </si>
  <si>
    <t>100677</t>
  </si>
  <si>
    <t>Dixon Technologies (India) Ltd.</t>
  </si>
  <si>
    <t>100665</t>
  </si>
  <si>
    <t>Aditya Birla Capital Ltd.</t>
  </si>
  <si>
    <t>100091</t>
  </si>
  <si>
    <t>Indus Towers Ltd.</t>
  </si>
  <si>
    <t>102693</t>
  </si>
  <si>
    <t>Lenskart Solutions Ltd.</t>
  </si>
  <si>
    <t>INE956O01016</t>
  </si>
  <si>
    <t>102180</t>
  </si>
  <si>
    <t>Ola Electric Mobility Ltd.</t>
  </si>
  <si>
    <t>101692</t>
  </si>
  <si>
    <t>Prince Pipes and Fittings Ltd.</t>
  </si>
  <si>
    <t>INE689W01016</t>
  </si>
  <si>
    <t>100080</t>
  </si>
  <si>
    <t>Dr. Reddy's Laboratories Ltd.</t>
  </si>
  <si>
    <t>100081</t>
  </si>
  <si>
    <t>Titan Company Ltd.</t>
  </si>
  <si>
    <t>100130</t>
  </si>
  <si>
    <t>Gujarat Gas Ltd.</t>
  </si>
  <si>
    <t>INE844O01030</t>
  </si>
  <si>
    <t>101452</t>
  </si>
  <si>
    <t>Gateway Distriparks Ltd.</t>
  </si>
  <si>
    <t>INE079J01017</t>
  </si>
  <si>
    <t>100155</t>
  </si>
  <si>
    <t>Divi's Laboratories Ltd.</t>
  </si>
  <si>
    <t>100684</t>
  </si>
  <si>
    <t>SBI Life Insurance Co. Ltd.</t>
  </si>
  <si>
    <t>INE123W01016</t>
  </si>
  <si>
    <t>102569</t>
  </si>
  <si>
    <t>Hexaware Technologies Ltd.</t>
  </si>
  <si>
    <t>100050</t>
  </si>
  <si>
    <t>Trent Ltd.</t>
  </si>
  <si>
    <t>102686</t>
  </si>
  <si>
    <t>Tata Motors Ltd.</t>
  </si>
  <si>
    <t>INE1TAE01010</t>
  </si>
  <si>
    <t>100106</t>
  </si>
  <si>
    <t>Maruti Suzuki India Ltd.</t>
  </si>
  <si>
    <t>100014</t>
  </si>
  <si>
    <t>Mahindra &amp; Mahindra Ltd.</t>
  </si>
  <si>
    <t>100089</t>
  </si>
  <si>
    <t>Bharat Electronics Ltd.</t>
  </si>
  <si>
    <t>100180</t>
  </si>
  <si>
    <t>Hindalco Industries Ltd.</t>
  </si>
  <si>
    <t>100177</t>
  </si>
  <si>
    <t>Grasim Industries Ltd.</t>
  </si>
  <si>
    <t>100099</t>
  </si>
  <si>
    <t>Hindustan Unilever Ltd.</t>
  </si>
  <si>
    <t>INE030A01027</t>
  </si>
  <si>
    <t>100125</t>
  </si>
  <si>
    <t>Bajaj Finance Ltd.</t>
  </si>
  <si>
    <t>DEBT INSTRUMENTS</t>
  </si>
  <si>
    <t>(b) Privately placed / Unlisted</t>
  </si>
  <si>
    <t>(c) Securitised Debt Instruments</t>
  </si>
  <si>
    <t>MONEY MARKET INSTRUMENTS</t>
  </si>
  <si>
    <t>OTHERS</t>
  </si>
  <si>
    <t>(a) Mutual Fund Units</t>
  </si>
  <si>
    <t>438015</t>
  </si>
  <si>
    <t>Mirae Asset Liquid Fund-Direct Plan-Growth</t>
  </si>
  <si>
    <t>INF769K01CM1</t>
  </si>
  <si>
    <t>438106</t>
  </si>
  <si>
    <t>Mirae Asset Money Market Fund-Direct Plan-Growth</t>
  </si>
  <si>
    <t>INF769K01HN8</t>
  </si>
  <si>
    <t>(b) TREPS / Reverse Repo</t>
  </si>
  <si>
    <t>202260100</t>
  </si>
  <si>
    <t>Other Current Assets / (Liabilities)</t>
  </si>
  <si>
    <t>Motilal Oswal Nifty Microcap 250 Index Fund</t>
  </si>
  <si>
    <t>Ujjivan Small Finance Bank Limited</t>
  </si>
  <si>
    <t>INE551W01018</t>
  </si>
  <si>
    <t>Cartrade Tech Limited</t>
  </si>
  <si>
    <t>INE290S01011</t>
  </si>
  <si>
    <t>LMW Limited</t>
  </si>
  <si>
    <t>INE269B01029</t>
  </si>
  <si>
    <t>Acutaas Chemicals Limited</t>
  </si>
  <si>
    <t>INE00FF01025</t>
  </si>
  <si>
    <t>The South Indian Bank Limited</t>
  </si>
  <si>
    <t>INE683A01023</t>
  </si>
  <si>
    <t>Astra Microwave Products Limited</t>
  </si>
  <si>
    <t>INE386C01029</t>
  </si>
  <si>
    <t>TD Power Systems Limited</t>
  </si>
  <si>
    <t>INE419M01027</t>
  </si>
  <si>
    <t>Equitas Small Finance Bank Limited</t>
  </si>
  <si>
    <t>INE063P01018</t>
  </si>
  <si>
    <t>Sansera Engineering Limited</t>
  </si>
  <si>
    <t>INE953O01021</t>
  </si>
  <si>
    <t>The Karnataka Bank Limited</t>
  </si>
  <si>
    <t>INE614B01018</t>
  </si>
  <si>
    <t>Edelweiss Financial Services Limited</t>
  </si>
  <si>
    <t>INE532F01054</t>
  </si>
  <si>
    <t>Sudarshan Chemical Industries Limited</t>
  </si>
  <si>
    <t>INE659A01023</t>
  </si>
  <si>
    <t>Nazara Technologies Limited</t>
  </si>
  <si>
    <t>INE418L01047</t>
  </si>
  <si>
    <t>MTAR Technologies Limited</t>
  </si>
  <si>
    <t>INE864I01014</t>
  </si>
  <si>
    <t>Paradeep Phosphates Limited</t>
  </si>
  <si>
    <t>INE088F01024</t>
  </si>
  <si>
    <t>Gabriel India Limited</t>
  </si>
  <si>
    <t>INE524A01029</t>
  </si>
  <si>
    <t>Strides Pharma Science Limited</t>
  </si>
  <si>
    <t>INE939A01011</t>
  </si>
  <si>
    <t>Ratnamani Metals &amp; Tubes Limited</t>
  </si>
  <si>
    <t>INE703B01027</t>
  </si>
  <si>
    <t>MedPlus Health Services Limited</t>
  </si>
  <si>
    <t>INE804L01022</t>
  </si>
  <si>
    <t>DCB Bank Limited</t>
  </si>
  <si>
    <t>INE503A01015</t>
  </si>
  <si>
    <t>Black Buck Ltd</t>
  </si>
  <si>
    <t>INE0UIZ01018</t>
  </si>
  <si>
    <t>Voltamp Transformers Limited</t>
  </si>
  <si>
    <t>INE540H01012</t>
  </si>
  <si>
    <t>JK Lakshmi Cement Limited</t>
  </si>
  <si>
    <t>INE786A01032</t>
  </si>
  <si>
    <t>Shaily Engineering Plastics Limited</t>
  </si>
  <si>
    <t>INE151G01028</t>
  </si>
  <si>
    <t>VA Tech Wabag Limited</t>
  </si>
  <si>
    <t>INE956G01038</t>
  </si>
  <si>
    <t>Other Utilities</t>
  </si>
  <si>
    <t>Arvind Limited</t>
  </si>
  <si>
    <t>INE034A01011</t>
  </si>
  <si>
    <t>Time Technoplast Limited</t>
  </si>
  <si>
    <t>INE508G01029</t>
  </si>
  <si>
    <t>Safari Industries (India) Limited</t>
  </si>
  <si>
    <t>INE429E01023</t>
  </si>
  <si>
    <t>Kansai Nerolac Paints Limited</t>
  </si>
  <si>
    <t>INE531A01024</t>
  </si>
  <si>
    <t>Gujarat Pipavav Port Limited</t>
  </si>
  <si>
    <t>INE517F01014</t>
  </si>
  <si>
    <t>Vesuvius India Limited</t>
  </si>
  <si>
    <t>INE386A01023</t>
  </si>
  <si>
    <t>Le Travenues Technology Ltd</t>
  </si>
  <si>
    <t>INE0HV901016</t>
  </si>
  <si>
    <t>Hindustan Construction Company Limited</t>
  </si>
  <si>
    <t>INE549A01026</t>
  </si>
  <si>
    <t>CSB Bank Limited</t>
  </si>
  <si>
    <t>INE679A01013</t>
  </si>
  <si>
    <t>Kirloskar Pneumatic Company Limited</t>
  </si>
  <si>
    <t>INE811A01020</t>
  </si>
  <si>
    <t>Shriram Pistons and Rings Ltd</t>
  </si>
  <si>
    <t>INE526E01018</t>
  </si>
  <si>
    <t>Prudent Corporate Advisory Services Limited</t>
  </si>
  <si>
    <t>INE00F201020</t>
  </si>
  <si>
    <t>Azad Engineering Ltd</t>
  </si>
  <si>
    <t>INE02IJ01035</t>
  </si>
  <si>
    <t>Gujarat State Fertilizers &amp; Chemicals Limited</t>
  </si>
  <si>
    <t>INE026A01025</t>
  </si>
  <si>
    <t>PTC India Limited</t>
  </si>
  <si>
    <t>INE877F01012</t>
  </si>
  <si>
    <t>TSF Investments  Limited</t>
  </si>
  <si>
    <t>INE202Z01029</t>
  </si>
  <si>
    <t>Belrise Industries Ltd.</t>
  </si>
  <si>
    <t>INE894V01022</t>
  </si>
  <si>
    <t>Lumax Auto Technologies Limited</t>
  </si>
  <si>
    <t>INE872H01027</t>
  </si>
  <si>
    <t>Arvind Fashions Limited</t>
  </si>
  <si>
    <t>INE955V01021</t>
  </si>
  <si>
    <t>Pricol Limited</t>
  </si>
  <si>
    <t>INE726V01018</t>
  </si>
  <si>
    <t>Thangamayil Jewellery Limited</t>
  </si>
  <si>
    <t>INE085J01014</t>
  </si>
  <si>
    <t>Vinati Organics Limited</t>
  </si>
  <si>
    <t>Gujarat Narmada Valley Fertilizers and Chemicals Limited</t>
  </si>
  <si>
    <t>INE113A01013</t>
  </si>
  <si>
    <t>Aarti Pharmalabs Limited</t>
  </si>
  <si>
    <t>INE0LRU01027</t>
  </si>
  <si>
    <t>KPI Green Energy Limited</t>
  </si>
  <si>
    <t>INE542W01025</t>
  </si>
  <si>
    <t>IIFL Capital Services Limited</t>
  </si>
  <si>
    <t>INE489L01022</t>
  </si>
  <si>
    <t>GHCL Limited</t>
  </si>
  <si>
    <t>INE539A01019</t>
  </si>
  <si>
    <t>Shakti Pumps (India) Limited</t>
  </si>
  <si>
    <t>INE908D01010</t>
  </si>
  <si>
    <t>Eureka Forbes Ltd</t>
  </si>
  <si>
    <t>INE0KCE01017</t>
  </si>
  <si>
    <t>Mahindra Lifespace Developers Limited</t>
  </si>
  <si>
    <t>INE813A01018</t>
  </si>
  <si>
    <t>Sanofi India Limited</t>
  </si>
  <si>
    <t>INE058A01010</t>
  </si>
  <si>
    <t>Tilaknagar Industries Limited</t>
  </si>
  <si>
    <t>INE133E01013</t>
  </si>
  <si>
    <t>Embassy Developments Limited</t>
  </si>
  <si>
    <t>INE069I01010</t>
  </si>
  <si>
    <t>Gokaldas Exports Limited</t>
  </si>
  <si>
    <t>INE887G01027</t>
  </si>
  <si>
    <t>India Shelter Finance Corporation Limited</t>
  </si>
  <si>
    <t>INE922K01024</t>
  </si>
  <si>
    <t>Cemindia Projects Ltd</t>
  </si>
  <si>
    <t>INE686A01026</t>
  </si>
  <si>
    <t>Marksans Pharma Limited</t>
  </si>
  <si>
    <t>INE750C01026</t>
  </si>
  <si>
    <t>PC Jeweller Limited</t>
  </si>
  <si>
    <t>INE785M01021</t>
  </si>
  <si>
    <t>Mrs. Bectors Food Specialities Limited</t>
  </si>
  <si>
    <t>Tanla Platforms Limited</t>
  </si>
  <si>
    <t>INE483C01032</t>
  </si>
  <si>
    <t>Dynamatic Technologies Limited</t>
  </si>
  <si>
    <t>INE221B01012</t>
  </si>
  <si>
    <t>ETHOS LTD.</t>
  </si>
  <si>
    <t>INE04TZ01018</t>
  </si>
  <si>
    <t>Westlife Foodworld Limited</t>
  </si>
  <si>
    <t>INE274F01020</t>
  </si>
  <si>
    <t>Aether Industries Limited</t>
  </si>
  <si>
    <t>INE0BWX01014</t>
  </si>
  <si>
    <t>GMM Pfaudler Limited</t>
  </si>
  <si>
    <t>INE541A01023</t>
  </si>
  <si>
    <t>Fine Organic Industries Limited</t>
  </si>
  <si>
    <t>INE686Y01026</t>
  </si>
  <si>
    <t>Archean Chemical Industries Limited</t>
  </si>
  <si>
    <t>INE128X01021</t>
  </si>
  <si>
    <t>Anupam Rasayan India Limited</t>
  </si>
  <si>
    <t>INE930P01018</t>
  </si>
  <si>
    <t>Avanti Feeds Limited</t>
  </si>
  <si>
    <t>INE871C01038</t>
  </si>
  <si>
    <t>Infibeam Avenues Limited</t>
  </si>
  <si>
    <t>INE483S01020</t>
  </si>
  <si>
    <t>Shilpa Medicare Limited</t>
  </si>
  <si>
    <t>INE790G01031</t>
  </si>
  <si>
    <t>Manorama Industries Limited</t>
  </si>
  <si>
    <t>INE00VM01036</t>
  </si>
  <si>
    <t>Samhi Hotels Limited</t>
  </si>
  <si>
    <t>INE08U801020</t>
  </si>
  <si>
    <t>Healthcare Global Enterprises Limited</t>
  </si>
  <si>
    <t>INE075I01017</t>
  </si>
  <si>
    <t>Restaurant Brands Asia Limited</t>
  </si>
  <si>
    <t>INE07T201019</t>
  </si>
  <si>
    <t>Birla Corporation Limited</t>
  </si>
  <si>
    <t>INE340A01012</t>
  </si>
  <si>
    <t>Rain Industries Limited</t>
  </si>
  <si>
    <t>INE855B01025</t>
  </si>
  <si>
    <t>ION Exchange (India) Limited</t>
  </si>
  <si>
    <t>INE570A01022</t>
  </si>
  <si>
    <t>Alivus Life Sciences Limited</t>
  </si>
  <si>
    <t>INE03Q201024</t>
  </si>
  <si>
    <t>Garware Technical Fibres Limited</t>
  </si>
  <si>
    <t>INE276A01018</t>
  </si>
  <si>
    <t>GMR Power and Urban Infra Limited</t>
  </si>
  <si>
    <t>INE0CU601026</t>
  </si>
  <si>
    <t>Aurionpro Solutions Limited</t>
  </si>
  <si>
    <t>INE132H01018</t>
  </si>
  <si>
    <t>Sterlite Technologies Limited</t>
  </si>
  <si>
    <t>INE089C01029</t>
  </si>
  <si>
    <t>Telecom - Equipment &amp; Accessories</t>
  </si>
  <si>
    <t>Tega Industries Limited</t>
  </si>
  <si>
    <t>INE011K01018</t>
  </si>
  <si>
    <t>Dodla Dairy Limited</t>
  </si>
  <si>
    <t>INE021O01019</t>
  </si>
  <si>
    <t>V-Mart Retail Limited</t>
  </si>
  <si>
    <t>INE665J01013</t>
  </si>
  <si>
    <t>Relaxo Footwears Limited</t>
  </si>
  <si>
    <t>INE131B01039</t>
  </si>
  <si>
    <t>Sanofi Consumer Healthcare India Limited</t>
  </si>
  <si>
    <t>INE0UOS01011</t>
  </si>
  <si>
    <t>Inox Green Energy Services Limited</t>
  </si>
  <si>
    <t>INE510W01014</t>
  </si>
  <si>
    <t>Sandur Manganese And Iron Ores Ltd</t>
  </si>
  <si>
    <t>INE149K01016</t>
  </si>
  <si>
    <t>Power Mech Projects Limited</t>
  </si>
  <si>
    <t>INE211R01019</t>
  </si>
  <si>
    <t>Welspun Enterprises Limited</t>
  </si>
  <si>
    <t>INE625G01013</t>
  </si>
  <si>
    <t>Raymond Lifestyle Limited</t>
  </si>
  <si>
    <t>INE02ID01020</t>
  </si>
  <si>
    <t>EPL Limited</t>
  </si>
  <si>
    <t>INE255A01020</t>
  </si>
  <si>
    <t>Privi Speciality Chemicals Limited</t>
  </si>
  <si>
    <t>INE959A01019</t>
  </si>
  <si>
    <t>Banco Products (I) Limited</t>
  </si>
  <si>
    <t>INE213C01025</t>
  </si>
  <si>
    <t>Texmaco Rail &amp; Engineering Limited</t>
  </si>
  <si>
    <t>INE621L01012</t>
  </si>
  <si>
    <t>KRBL Limited</t>
  </si>
  <si>
    <t>INE001B01026</t>
  </si>
  <si>
    <t>MOIL Limited</t>
  </si>
  <si>
    <t>INE490G01020</t>
  </si>
  <si>
    <t>Garware Hi-Tech Films Limited</t>
  </si>
  <si>
    <t>INE291A01017</t>
  </si>
  <si>
    <t>Ingersoll Rand (India) Limited</t>
  </si>
  <si>
    <t>INE177A01018</t>
  </si>
  <si>
    <t>VIP Industries Limited</t>
  </si>
  <si>
    <t>INE054A01027</t>
  </si>
  <si>
    <t>Thyrocare Technologies Limited</t>
  </si>
  <si>
    <t>INE594H01019</t>
  </si>
  <si>
    <t>FIEM Industries Limited</t>
  </si>
  <si>
    <t>INE737H01014</t>
  </si>
  <si>
    <t>Allied Blenders And Distillers Limited</t>
  </si>
  <si>
    <t>INE552Z01027</t>
  </si>
  <si>
    <t>Pearl Global Industries Limited</t>
  </si>
  <si>
    <t>INE940H01022</t>
  </si>
  <si>
    <t>Avalon Technologies Limited</t>
  </si>
  <si>
    <t>INE0LCL01028</t>
  </si>
  <si>
    <t>Ahluwalia Contracts (India) Limited</t>
  </si>
  <si>
    <t>INE758C01029</t>
  </si>
  <si>
    <t>Paras Defence and Space Technologies Limited</t>
  </si>
  <si>
    <t>INE045601023</t>
  </si>
  <si>
    <t>JK Paper Limited</t>
  </si>
  <si>
    <t>INE789E01012</t>
  </si>
  <si>
    <t>Tips Music Limited</t>
  </si>
  <si>
    <t>Network18 Media &amp; Investments Limited</t>
  </si>
  <si>
    <t>INE870H01013</t>
  </si>
  <si>
    <t>Websol Energy System Limited</t>
  </si>
  <si>
    <t>INE855C01023</t>
  </si>
  <si>
    <t>PNC Infratech Limited</t>
  </si>
  <si>
    <t>INE195J01029</t>
  </si>
  <si>
    <t>Jamna Auto Industries Limited</t>
  </si>
  <si>
    <t>INE039C01032</t>
  </si>
  <si>
    <t>Lloyds Engineering Works Limited</t>
  </si>
  <si>
    <t>INE093R01011</t>
  </si>
  <si>
    <t>G R Infraprojects Limited</t>
  </si>
  <si>
    <t>INE201P01022</t>
  </si>
  <si>
    <t>Sharda Cropchem Limited</t>
  </si>
  <si>
    <t>INE221J01015</t>
  </si>
  <si>
    <t>Rallis India Limited</t>
  </si>
  <si>
    <t>INE613A01020</t>
  </si>
  <si>
    <t>Sterling And Wilson Renewable Energy Limited</t>
  </si>
  <si>
    <t>INE00M201021</t>
  </si>
  <si>
    <t>Electrosteel Castings Limited</t>
  </si>
  <si>
    <t>INE086A01029</t>
  </si>
  <si>
    <t>BOROSIL RENEWABLES LIMITED</t>
  </si>
  <si>
    <t>INE666D01022</t>
  </si>
  <si>
    <t>Waaree Renewable Technologies Ltd</t>
  </si>
  <si>
    <t>INE299N01021</t>
  </si>
  <si>
    <t>J.Kumar Infraprojects Limited</t>
  </si>
  <si>
    <t>INE576I01022</t>
  </si>
  <si>
    <t>Indigo Paints Limited</t>
  </si>
  <si>
    <t>INE09VQ01012</t>
  </si>
  <si>
    <t>RattanIndia Power Limited</t>
  </si>
  <si>
    <t>INE399K01017</t>
  </si>
  <si>
    <t>Varroc Engineering Limited</t>
  </si>
  <si>
    <t>INE665L01035</t>
  </si>
  <si>
    <t>Yatharth Hospital And Trauma Care Services Limited</t>
  </si>
  <si>
    <t>INE0JO301016</t>
  </si>
  <si>
    <t>Cello World Limited</t>
  </si>
  <si>
    <t>KNR Constructions Limited</t>
  </si>
  <si>
    <t>Bharat Bijlee Limited</t>
  </si>
  <si>
    <t>INE464A01036</t>
  </si>
  <si>
    <t>The Anup Engineering Limited</t>
  </si>
  <si>
    <t>INE294Z01018</t>
  </si>
  <si>
    <t>Sky Gold And Diamonds Limited</t>
  </si>
  <si>
    <t>INE01IU01018</t>
  </si>
  <si>
    <t>ISGEC Heavy Engineering Limited</t>
  </si>
  <si>
    <t>INE858B01029</t>
  </si>
  <si>
    <t>Max Estates Limited</t>
  </si>
  <si>
    <t>INE03EI01018</t>
  </si>
  <si>
    <t>Cigniti Technologies Limited</t>
  </si>
  <si>
    <t>INE675C01017</t>
  </si>
  <si>
    <t>Thomas Cook  (India)  Limited</t>
  </si>
  <si>
    <t>INE332A01027</t>
  </si>
  <si>
    <t>Dilip Buildcon Limited</t>
  </si>
  <si>
    <t>INE917M01012</t>
  </si>
  <si>
    <t>Shree Renuka Sugars Limited</t>
  </si>
  <si>
    <t>INE087H01022</t>
  </si>
  <si>
    <t>Gateway Distriparks Limited</t>
  </si>
  <si>
    <t>Zaggle Prepaid Ocean Services Limited</t>
  </si>
  <si>
    <t>INE07K301024</t>
  </si>
  <si>
    <t>India Glycols Limited</t>
  </si>
  <si>
    <t>INE560A01023</t>
  </si>
  <si>
    <t>Surya Roshni Limited</t>
  </si>
  <si>
    <t>INE335A01020</t>
  </si>
  <si>
    <t>Gujarat Ambuja Exports Limited</t>
  </si>
  <si>
    <t>INE036B01030</t>
  </si>
  <si>
    <t>Sheela Foam Limited</t>
  </si>
  <si>
    <t>INE916U01025</t>
  </si>
  <si>
    <t>Sunteck Realty Limited</t>
  </si>
  <si>
    <t>INE805D01034</t>
  </si>
  <si>
    <t>Lloyds Enterprises Ltd</t>
  </si>
  <si>
    <t>INE080I01025</t>
  </si>
  <si>
    <t>Metals &amp; Minerals Trading</t>
  </si>
  <si>
    <t>Jana Small Finance Bank Limited</t>
  </si>
  <si>
    <t>INE953L01027</t>
  </si>
  <si>
    <t>Transrail Lighting Limited</t>
  </si>
  <si>
    <t>INE454P01035</t>
  </si>
  <si>
    <t>Ashoka Buildcon Limited</t>
  </si>
  <si>
    <t>INE442H01029</t>
  </si>
  <si>
    <t>Balu Forge Industries Limited</t>
  </si>
  <si>
    <t>INE011E01029</t>
  </si>
  <si>
    <t>Kaveri Seed Company Limited</t>
  </si>
  <si>
    <t>INE455I01029</t>
  </si>
  <si>
    <t>Indo Count Industries Limited</t>
  </si>
  <si>
    <t>INE483B01026</t>
  </si>
  <si>
    <t>Star Cement Limited</t>
  </si>
  <si>
    <t>INE460H01021</t>
  </si>
  <si>
    <t>ASK Automotive Limited</t>
  </si>
  <si>
    <t>INE491J01022</t>
  </si>
  <si>
    <t>FDC Limited</t>
  </si>
  <si>
    <t>INE258B01022</t>
  </si>
  <si>
    <t>Awfis Space Solutions Limited</t>
  </si>
  <si>
    <t>INE108V01019</t>
  </si>
  <si>
    <t>Patel Engineering Limited</t>
  </si>
  <si>
    <t>INE244B01030</t>
  </si>
  <si>
    <t>Mishra Dhatu Nigam Limited</t>
  </si>
  <si>
    <t>INE099Z01011</t>
  </si>
  <si>
    <t>Viyash Scientific Limited</t>
  </si>
  <si>
    <t>INE807F01027</t>
  </si>
  <si>
    <t>Jain Irrigation Systems Limited</t>
  </si>
  <si>
    <t>INE175A01038</t>
  </si>
  <si>
    <t>Styrenix Performance Materials Limited</t>
  </si>
  <si>
    <t>INE189B01011</t>
  </si>
  <si>
    <t>Senco Gold Limited</t>
  </si>
  <si>
    <t>INE602W01027</t>
  </si>
  <si>
    <t>Entero Healthcare Solutions Ltd</t>
  </si>
  <si>
    <t>INE010601016</t>
  </si>
  <si>
    <t>Jai Balaji Industries Limited</t>
  </si>
  <si>
    <t>INE091G01026</t>
  </si>
  <si>
    <t>Sharda Motor Industries Ltd.</t>
  </si>
  <si>
    <t>INE597I01028</t>
  </si>
  <si>
    <t>Indian Metals &amp; Ferro Alloys Limited</t>
  </si>
  <si>
    <t>INE919H01018</t>
  </si>
  <si>
    <t>Bajaj Electricals Limited</t>
  </si>
  <si>
    <t>INE193E01025</t>
  </si>
  <si>
    <t>Supriya Lifescience Limited</t>
  </si>
  <si>
    <t>INE07RO01027</t>
  </si>
  <si>
    <t>Gulf Oil Lubricants India Limited</t>
  </si>
  <si>
    <t>INE635Q01029</t>
  </si>
  <si>
    <t>Gallantt Ispat Limited</t>
  </si>
  <si>
    <t>INE297H01019</t>
  </si>
  <si>
    <t>Greaves Cotton Limited</t>
  </si>
  <si>
    <t>INE224A01026</t>
  </si>
  <si>
    <t>Sunflag Iron And Steel Company Limited</t>
  </si>
  <si>
    <t>INE947A01014</t>
  </si>
  <si>
    <t>Ganesh Housing Ltd</t>
  </si>
  <si>
    <t>INE460C01014</t>
  </si>
  <si>
    <t>TeamLease Services Limited</t>
  </si>
  <si>
    <t>INE985S01024</t>
  </si>
  <si>
    <t>AGI Greenpac Limited</t>
  </si>
  <si>
    <t>INE415A01038</t>
  </si>
  <si>
    <t>Prism Johnson Limited</t>
  </si>
  <si>
    <t>INE010A01011</t>
  </si>
  <si>
    <t>Subros Ltd</t>
  </si>
  <si>
    <t>INE287B01021</t>
  </si>
  <si>
    <t>Heritage Foods Limited</t>
  </si>
  <si>
    <t>INE978A01027</t>
  </si>
  <si>
    <t>TARC Limited</t>
  </si>
  <si>
    <t>INE0EK901012</t>
  </si>
  <si>
    <t>Neogen Chemicals Limited</t>
  </si>
  <si>
    <t>INE136S01016</t>
  </si>
  <si>
    <t>Dhanuka Agritech Limited</t>
  </si>
  <si>
    <t>INE435G01025</t>
  </si>
  <si>
    <t>Just Dial Limited</t>
  </si>
  <si>
    <t>INE599M01018</t>
  </si>
  <si>
    <t>eMudhra Limited</t>
  </si>
  <si>
    <t>INE01QM01018</t>
  </si>
  <si>
    <t>Kitex Garments Limited</t>
  </si>
  <si>
    <t>INE602G01020</t>
  </si>
  <si>
    <t>VST Industries Limited</t>
  </si>
  <si>
    <t>INE710A01016</t>
  </si>
  <si>
    <t>Cigarettes &amp; Tobacco Products</t>
  </si>
  <si>
    <t>Symphony Limited</t>
  </si>
  <si>
    <t>INE225D01027</t>
  </si>
  <si>
    <t>Cyient Dlm Ltd</t>
  </si>
  <si>
    <t>Advanced Enzyme Technologies Limited</t>
  </si>
  <si>
    <t>INE837H01020</t>
  </si>
  <si>
    <t>Epigral Limited</t>
  </si>
  <si>
    <t>INE071N01016</t>
  </si>
  <si>
    <t>Dishman Carbogen Amcis Limited</t>
  </si>
  <si>
    <t>INE385W01011</t>
  </si>
  <si>
    <t>Puravankara Limited</t>
  </si>
  <si>
    <t>INE323I01011</t>
  </si>
  <si>
    <t>Datamatics Global Services Limited</t>
  </si>
  <si>
    <t>INE365B01017</t>
  </si>
  <si>
    <t>Skipper Limited</t>
  </si>
  <si>
    <t>INE439E01022</t>
  </si>
  <si>
    <t>Man Infraconstruction Limited</t>
  </si>
  <si>
    <t>INE949H01023</t>
  </si>
  <si>
    <t>Refex Industries Limited</t>
  </si>
  <si>
    <t>INE056I01025</t>
  </si>
  <si>
    <t>Aarti Drugs Limited</t>
  </si>
  <si>
    <t>INE767A01016</t>
  </si>
  <si>
    <t>Quess Corp Limited</t>
  </si>
  <si>
    <t>INE615P01015</t>
  </si>
  <si>
    <t>Greenpanel Industries Limited</t>
  </si>
  <si>
    <t>INE08ZM01014</t>
  </si>
  <si>
    <t>Vaibhav Global Limited</t>
  </si>
  <si>
    <t>INE884A01027</t>
  </si>
  <si>
    <t>Polyplex Corporation Limited</t>
  </si>
  <si>
    <t>INE633B01018</t>
  </si>
  <si>
    <t>P N Gadgil Jewellers Limited</t>
  </si>
  <si>
    <t>INE953R01016</t>
  </si>
  <si>
    <t>RattanIndia Enterprises Limited</t>
  </si>
  <si>
    <t>INE834M01019</t>
  </si>
  <si>
    <t>Balaji Amines Limited</t>
  </si>
  <si>
    <t>INE050E01027</t>
  </si>
  <si>
    <t>Electronics Mart India Limited</t>
  </si>
  <si>
    <t>INE02YR01019</t>
  </si>
  <si>
    <t>Tvs Supply Chain Solutions Limited</t>
  </si>
  <si>
    <t>INE395N01027</t>
  </si>
  <si>
    <t>Laxmi Organic Industries Limited</t>
  </si>
  <si>
    <t>INE576O01020</t>
  </si>
  <si>
    <t>Ajax Engineering Limited</t>
  </si>
  <si>
    <t>INE274Y01021</t>
  </si>
  <si>
    <t>H.G. Infra Engineering Limited</t>
  </si>
  <si>
    <t>INE926X01010</t>
  </si>
  <si>
    <t>Sun Pharma Advanced Research Company Limited</t>
  </si>
  <si>
    <t>INE232I01014</t>
  </si>
  <si>
    <t>KRN Heat Exchanger And Refrigeration Limited</t>
  </si>
  <si>
    <t>INE0Q3J01015</t>
  </si>
  <si>
    <t>Easy Trip Planners Limited</t>
  </si>
  <si>
    <t>INE07O001026</t>
  </si>
  <si>
    <t>Hemisphere Properties India Limited</t>
  </si>
  <si>
    <t>INE0AJG01018</t>
  </si>
  <si>
    <t>IFB Industries Limited</t>
  </si>
  <si>
    <t>INE559A01017</t>
  </si>
  <si>
    <t>MSTC Limited</t>
  </si>
  <si>
    <t>INE255X01014</t>
  </si>
  <si>
    <t>Innova Captab Limited</t>
  </si>
  <si>
    <t>INE0DUT01020</t>
  </si>
  <si>
    <t>Share India Securities Limited</t>
  </si>
  <si>
    <t>INE932X01026</t>
  </si>
  <si>
    <t>Kalyani Steels Limited</t>
  </si>
  <si>
    <t>INE907A01026</t>
  </si>
  <si>
    <t>Orchid Pharma Limited</t>
  </si>
  <si>
    <t>INE191A01027</t>
  </si>
  <si>
    <t>Ganesha Ecosphere Limited</t>
  </si>
  <si>
    <t>INE845D01014</t>
  </si>
  <si>
    <t>Prince Pipes And Fittings Limited</t>
  </si>
  <si>
    <t>Diamond Power Infra Limited</t>
  </si>
  <si>
    <t>INE989C01038</t>
  </si>
  <si>
    <t>National Fertilizers Limited</t>
  </si>
  <si>
    <t>INE870D01012</t>
  </si>
  <si>
    <t>Enviro Infra Engineers Limited</t>
  </si>
  <si>
    <t>INE0LLY01014</t>
  </si>
  <si>
    <t>Route Mobile Limited</t>
  </si>
  <si>
    <t>INE450U01017</t>
  </si>
  <si>
    <t>Optiemus Infracom Ltd</t>
  </si>
  <si>
    <t>INE350C01017</t>
  </si>
  <si>
    <t>Bosch Home Comfort India Ltd</t>
  </si>
  <si>
    <t>INE782A01015</t>
  </si>
  <si>
    <t>Oswal Pumps Limited</t>
  </si>
  <si>
    <t>INE0BYP01024</t>
  </si>
  <si>
    <t>Allcargo Logistics Limited</t>
  </si>
  <si>
    <t>INE418H01029</t>
  </si>
  <si>
    <t>Ceigall India Ltd</t>
  </si>
  <si>
    <t>INE0AG901020</t>
  </si>
  <si>
    <t>Apeejay Surrendra Park Hotels Limited</t>
  </si>
  <si>
    <t>INE988S01028</t>
  </si>
  <si>
    <t>Orient Cement Limited</t>
  </si>
  <si>
    <t>INE876N01018</t>
  </si>
  <si>
    <t>Lux Industries Limited</t>
  </si>
  <si>
    <t>INE150G01020</t>
  </si>
  <si>
    <t>Hikal Limited</t>
  </si>
  <si>
    <t>INE475B01022</t>
  </si>
  <si>
    <t>Imagicaaworld Entertainment Limited</t>
  </si>
  <si>
    <t>INE172N01012</t>
  </si>
  <si>
    <t>Unimech Aerospace and Manufacturing Limited</t>
  </si>
  <si>
    <t>INE0U3I01011</t>
  </si>
  <si>
    <t>Jindal Worldwide Limited</t>
  </si>
  <si>
    <t>INE247D01039</t>
  </si>
  <si>
    <t>Allcargo Global Limited</t>
  </si>
  <si>
    <t>INE1YPB01014</t>
  </si>
  <si>
    <t>Portfolio of Kotak Small Cap Fund as on 31-Jan-2026</t>
  </si>
  <si>
    <t>ISIN Code</t>
  </si>
  <si>
    <t>Yield</t>
  </si>
  <si>
    <t>Market Value (Rs.in Lacs)</t>
  </si>
  <si>
    <t>Listed/Awaiting listing on Stock Exchange</t>
  </si>
  <si>
    <t>ASTER DM HEALTHCARE LTD</t>
  </si>
  <si>
    <t>INE914M01019</t>
  </si>
  <si>
    <t>VIJAYA DIAGNOSTIC CENTRE PVT</t>
  </si>
  <si>
    <t>INE043W01024</t>
  </si>
  <si>
    <t>KRISHNA INSTITUTE OF MEDICAL</t>
  </si>
  <si>
    <t>INE967H01025</t>
  </si>
  <si>
    <t>Sansera Engineering Ltd</t>
  </si>
  <si>
    <t>KALPATARU PROJECTS INTERNATIONAL LIMITED</t>
  </si>
  <si>
    <t>INE220B01022</t>
  </si>
  <si>
    <t>Cyient Ltd.</t>
  </si>
  <si>
    <t>Techno Electric &amp; Engineering Company Limited</t>
  </si>
  <si>
    <t>INE285K01026</t>
  </si>
  <si>
    <t>Ajanta Pharma Ltd.</t>
  </si>
  <si>
    <t>Pharmaceuticals and Biotechnology</t>
  </si>
  <si>
    <t>VISHAL MEGA MART LIMITED</t>
  </si>
  <si>
    <t>SHRIRAM FINANCE LIMITED</t>
  </si>
  <si>
    <t>GARWARE TECHNICAL FIBRES LTD.</t>
  </si>
  <si>
    <t>Textiles and Apparels</t>
  </si>
  <si>
    <t>GE VERNOVA T&amp;D INDIA LIMITED</t>
  </si>
  <si>
    <t>BRIGADE ENTERPRISES LIMITED</t>
  </si>
  <si>
    <t>INE791I01019</t>
  </si>
  <si>
    <t>MINDA CORPORATION LIMITED</t>
  </si>
  <si>
    <t>INE842C01021</t>
  </si>
  <si>
    <t>Medplus Health Services Ltd.</t>
  </si>
  <si>
    <t>V-Guard Industries Ltd.</t>
  </si>
  <si>
    <t>INE951I01027</t>
  </si>
  <si>
    <t>Metropolis Healthcare Ltd.</t>
  </si>
  <si>
    <t>INE112L01020</t>
  </si>
  <si>
    <t>APTUS VALUE HOUSING FINANCE</t>
  </si>
  <si>
    <t>INE852O01025</t>
  </si>
  <si>
    <t>AXIS BANK LTD.</t>
  </si>
  <si>
    <t>Alembic Pharmaceuticals Ltd.</t>
  </si>
  <si>
    <t>INE901L01018</t>
  </si>
  <si>
    <t>Five Star Business Finance Ltd</t>
  </si>
  <si>
    <t>INE128S01021</t>
  </si>
  <si>
    <t>BEML Limited</t>
  </si>
  <si>
    <t>INE258A01024</t>
  </si>
  <si>
    <t>Agricultural, Commercial and Constr</t>
  </si>
  <si>
    <t>BLUE STAR LTD.</t>
  </si>
  <si>
    <t>INE472A01039</t>
  </si>
  <si>
    <t>V.S.T Tillers Tractors Ltd</t>
  </si>
  <si>
    <t>INE764D01017</t>
  </si>
  <si>
    <t>ICICI BANK LTD.</t>
  </si>
  <si>
    <t>SAGILITY INDIA LTD.</t>
  </si>
  <si>
    <t>INE0W2G01015</t>
  </si>
  <si>
    <t>JUBILANT INGREVIA LTD.</t>
  </si>
  <si>
    <t>INE0BY001018</t>
  </si>
  <si>
    <t>Chemicals and Petrochemicals</t>
  </si>
  <si>
    <t>V-MART RETAIL LTD.</t>
  </si>
  <si>
    <t>Avenue Supermarts Ltd</t>
  </si>
  <si>
    <t>INE192R01011</t>
  </si>
  <si>
    <t>ICICI Lombard General Insurance Company Ltd</t>
  </si>
  <si>
    <t>BHARTI HEXACOM LTD.</t>
  </si>
  <si>
    <t>MAHINDRA LIFESPACE DEVELOPERS LTD</t>
  </si>
  <si>
    <t>Ratnamani Metals &amp; Tubes Ltd.</t>
  </si>
  <si>
    <t>Carborundum Universal Ltd.</t>
  </si>
  <si>
    <t>DEVYANI INTERNATIONAL LIMITED</t>
  </si>
  <si>
    <t>INE872J01023</t>
  </si>
  <si>
    <t>KFIN TECHNOLOGIES LTD.</t>
  </si>
  <si>
    <t>INE138Y01010</t>
  </si>
  <si>
    <t>Crompton Greaves Consumer Electricals Limited</t>
  </si>
  <si>
    <t>CMS INFO SYSTEMS LIMITED</t>
  </si>
  <si>
    <t>Commercial Services and Supplies</t>
  </si>
  <si>
    <t>Balrampur Chini Mills Ltd.</t>
  </si>
  <si>
    <t>INE119A01028</t>
  </si>
  <si>
    <t>Agricultural Food and other Product</t>
  </si>
  <si>
    <t>KARUR VYSYA  BANK LTD.</t>
  </si>
  <si>
    <t>INE036D01028</t>
  </si>
  <si>
    <t>JK Cement Ltd.</t>
  </si>
  <si>
    <t>Cement and Cement Products</t>
  </si>
  <si>
    <t>HAPPY FORGINGS LTD</t>
  </si>
  <si>
    <t>INE330T01021</t>
  </si>
  <si>
    <t>MANKIND PHARMA LTD</t>
  </si>
  <si>
    <t>CELLO WORLD LTD.</t>
  </si>
  <si>
    <t>Shopper Stop Ltd.</t>
  </si>
  <si>
    <t>INE498B01024</t>
  </si>
  <si>
    <t>Dhanuka Agritech Ltd</t>
  </si>
  <si>
    <t>Fertilizers and Agrochemicals</t>
  </si>
  <si>
    <t>Rolex Rings Limited</t>
  </si>
  <si>
    <t>INE645S01024</t>
  </si>
  <si>
    <t>SWIGGY LTD</t>
  </si>
  <si>
    <t>HOME FIRST FINANCE CO INDIA</t>
  </si>
  <si>
    <t>INE481N01025</t>
  </si>
  <si>
    <t>ORIENT ELECTIC LIMITED</t>
  </si>
  <si>
    <t>INE142Z01019</t>
  </si>
  <si>
    <t>R R KABEL LTD</t>
  </si>
  <si>
    <t>INE777K01022</t>
  </si>
  <si>
    <t>Hawkins Cooker Ltd</t>
  </si>
  <si>
    <t>INE979B01015</t>
  </si>
  <si>
    <t>JB Chemicals &amp; Pharmaceuticals Ltd.</t>
  </si>
  <si>
    <t>INE572A01036</t>
  </si>
  <si>
    <t>BANSAL WIRE INDUSTRIES LIMITED</t>
  </si>
  <si>
    <t>INE0B9K01025</t>
  </si>
  <si>
    <t>MEDI ASSIST HEALTHCARE SERVICES LIMITED</t>
  </si>
  <si>
    <t>INE456Z01021</t>
  </si>
  <si>
    <t>Somany Ceramics Ltd.</t>
  </si>
  <si>
    <t>INE355A01028</t>
  </si>
  <si>
    <t>PHYSICSWALLAH LIMITED</t>
  </si>
  <si>
    <t>ANTHEM BIOSCIENCES LTD</t>
  </si>
  <si>
    <t>INE0CZ201020</t>
  </si>
  <si>
    <t>Nilkamal Ltd.</t>
  </si>
  <si>
    <t>INE310A01015</t>
  </si>
  <si>
    <t>Sandhar Technologies Ltd.</t>
  </si>
  <si>
    <t>INE278H01035</t>
  </si>
  <si>
    <t>PVR LTD.</t>
  </si>
  <si>
    <t>INE191H01014</t>
  </si>
  <si>
    <t>Atul Ltd.</t>
  </si>
  <si>
    <t>INE100A01010</t>
  </si>
  <si>
    <t>MAX ESTATES LIMITED</t>
  </si>
  <si>
    <t>TORRENT PHARMACEUTICALS LTD.</t>
  </si>
  <si>
    <t>INE685A01028</t>
  </si>
  <si>
    <t>Sheela Foam Ltd</t>
  </si>
  <si>
    <t>HEXAWARE TECHNOLOGIES LTD.</t>
  </si>
  <si>
    <t>SURAKSHA DIAGNOSTIC  LTD</t>
  </si>
  <si>
    <t>INE877V01027</t>
  </si>
  <si>
    <t>WPIL Ltd</t>
  </si>
  <si>
    <t>INE765D01022</t>
  </si>
  <si>
    <t>Kewal Kiran Clothing Limited</t>
  </si>
  <si>
    <t>INE401H01017</t>
  </si>
  <si>
    <t>Apollo Pipes Ltd</t>
  </si>
  <si>
    <t>INE126J01016</t>
  </si>
  <si>
    <t>JUPITER LIFELINE HOSPITALS LTD</t>
  </si>
  <si>
    <t>INE682M01012</t>
  </si>
  <si>
    <t>ANAND RATHI SHARE AND STOCK BROKERS LIMITED</t>
  </si>
  <si>
    <t>INE549H01021</t>
  </si>
  <si>
    <t>Ujjivan Small Finance Bank Ltd.</t>
  </si>
  <si>
    <t>Birlasoft LImited</t>
  </si>
  <si>
    <t>INE836A01035</t>
  </si>
  <si>
    <t>360 ONE WAM LIMITED</t>
  </si>
  <si>
    <t>INE466L01038</t>
  </si>
  <si>
    <t>0.00 #</t>
  </si>
  <si>
    <t>Triparty Repo</t>
  </si>
  <si>
    <t>Net Current Assets/(Liabilities)</t>
  </si>
  <si>
    <t>PARAG PARIKH FLEXI CAP FUND - DIRECT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</si>
</sst>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%"/>
    <numFmt numFmtId="165" formatCode="#,##0;\(#,##0\)"/>
    <numFmt numFmtId="166" formatCode="#,##0.00;\(#,##0.00\)"/>
    <numFmt numFmtId="167" formatCode="#0;\(\-#0\)"/>
    <numFmt numFmtId="168" formatCode="#,##0.00%;\(#,##0.00\)%"/>
    <numFmt numFmtId="169" formatCode="_(* #,##0_);_(* \(#,##0\);_(* &quot;-&quot;??_);_(@_)"/>
  </numFmts>
  <fonts count="2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0"/>
      <color rgb="FFFFFFFF"/>
      <name val="SansSerif"/>
      <family val="2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b/>
      <sz val="16"/>
      <color indexed="63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7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u/>
      <sz val="11"/>
      <color theme="1"/>
      <name val="Times New Roman"/>
      <family val="1"/>
    </font>
    <font>
      <sz val="14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rgb="FFFFFFFF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164" fontId="2" fillId="0" borderId="4" xfId="0" applyNumberFormat="1" applyFont="1" applyBorder="1" applyAlignment="1">
      <alignment horizontal="right"/>
    </xf>
    <xf numFmtId="165" fontId="2" fillId="0" borderId="4" xfId="0" applyNumberFormat="1" applyFont="1" applyBorder="1"/>
    <xf numFmtId="166" fontId="2" fillId="0" borderId="4" xfId="0" applyNumberFormat="1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left"/>
    </xf>
    <xf numFmtId="165" fontId="3" fillId="0" borderId="4" xfId="0" applyNumberFormat="1" applyFont="1" applyBorder="1"/>
    <xf numFmtId="166" fontId="3" fillId="0" borderId="4" xfId="0" applyNumberFormat="1" applyFont="1" applyBorder="1"/>
    <xf numFmtId="164" fontId="3" fillId="0" borderId="4" xfId="0" applyNumberFormat="1" applyFont="1" applyBorder="1" applyAlignment="1">
      <alignment horizontal="right"/>
    </xf>
    <xf numFmtId="166" fontId="2" fillId="0" borderId="5" xfId="0" applyNumberFormat="1" applyFont="1" applyBorder="1"/>
    <xf numFmtId="164" fontId="2" fillId="0" borderId="5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5" fontId="2" fillId="0" borderId="2" xfId="0" applyNumberFormat="1" applyFont="1" applyBorder="1"/>
    <xf numFmtId="166" fontId="2" fillId="0" borderId="6" xfId="0" applyNumberFormat="1" applyFont="1" applyBorder="1"/>
    <xf numFmtId="164" fontId="2" fillId="0" borderId="6" xfId="0" applyNumberFormat="1" applyFont="1" applyBorder="1" applyAlignment="1">
      <alignment horizontal="right"/>
    </xf>
    <xf numFmtId="0" fontId="4" fillId="0" borderId="7" xfId="2" applyFill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2" borderId="8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/>
    </xf>
    <xf numFmtId="167" fontId="8" fillId="0" borderId="7" xfId="0" applyNumberFormat="1" applyFont="1" applyBorder="1" applyAlignment="1">
      <alignment horizontal="right" vertical="top" wrapText="1"/>
    </xf>
    <xf numFmtId="166" fontId="8" fillId="0" borderId="7" xfId="0" applyNumberFormat="1" applyFont="1" applyBorder="1" applyAlignment="1">
      <alignment horizontal="right" vertical="top" wrapText="1"/>
    </xf>
    <xf numFmtId="164" fontId="8" fillId="0" borderId="7" xfId="0" applyNumberFormat="1" applyFont="1" applyBorder="1" applyAlignment="1">
      <alignment horizontal="right" vertical="top" wrapText="1"/>
    </xf>
    <xf numFmtId="0" fontId="8" fillId="3" borderId="7" xfId="0" applyFont="1" applyFill="1" applyBorder="1" applyAlignment="1">
      <alignment horizontal="left" vertical="top" wrapText="1"/>
    </xf>
    <xf numFmtId="166" fontId="7" fillId="3" borderId="7" xfId="0" applyNumberFormat="1" applyFont="1" applyFill="1" applyBorder="1" applyAlignment="1">
      <alignment horizontal="right" vertical="top" wrapText="1"/>
    </xf>
    <xf numFmtId="164" fontId="7" fillId="3" borderId="7" xfId="0" applyNumberFormat="1" applyFont="1" applyFill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7" fillId="3" borderId="7" xfId="0" applyFont="1" applyFill="1" applyBorder="1" applyAlignment="1">
      <alignment horizontal="right" vertical="top" wrapText="1"/>
    </xf>
    <xf numFmtId="166" fontId="7" fillId="0" borderId="7" xfId="0" applyNumberFormat="1" applyFont="1" applyBorder="1" applyAlignment="1">
      <alignment horizontal="right" vertical="top" wrapText="1"/>
    </xf>
    <xf numFmtId="164" fontId="7" fillId="0" borderId="7" xfId="0" applyNumberFormat="1" applyFont="1" applyBorder="1" applyAlignment="1">
      <alignment horizontal="right" vertical="top" wrapText="1"/>
    </xf>
    <xf numFmtId="0" fontId="10" fillId="2" borderId="8" xfId="0" applyFont="1" applyFill="1" applyBorder="1" applyAlignment="1">
      <alignment horizontal="left" vertical="top" wrapText="1"/>
    </xf>
    <xf numFmtId="166" fontId="9" fillId="2" borderId="8" xfId="0" applyNumberFormat="1" applyFont="1" applyFill="1" applyBorder="1" applyAlignment="1">
      <alignment horizontal="right" vertical="center" wrapText="1"/>
    </xf>
    <xf numFmtId="164" fontId="9" fillId="2" borderId="8" xfId="0" applyNumberFormat="1" applyFont="1" applyFill="1" applyBorder="1" applyAlignment="1">
      <alignment horizontal="right" vertical="center" wrapText="1"/>
    </xf>
    <xf numFmtId="166" fontId="2" fillId="0" borderId="2" xfId="0" applyNumberFormat="1" applyFont="1" applyBorder="1"/>
    <xf numFmtId="164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165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right"/>
    </xf>
    <xf numFmtId="4" fontId="2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4" fontId="3" fillId="0" borderId="2" xfId="0" applyNumberFormat="1" applyFont="1" applyBorder="1"/>
    <xf numFmtId="164" fontId="3" fillId="0" borderId="2" xfId="0" applyNumberFormat="1" applyFont="1" applyBorder="1" applyAlignment="1">
      <alignment horizontal="right"/>
    </xf>
    <xf numFmtId="0" fontId="3" fillId="0" borderId="0" xfId="0" applyFont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1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168" fontId="8" fillId="0" borderId="11" xfId="0" applyNumberFormat="1" applyFont="1" applyBorder="1" applyAlignment="1">
      <alignment horizontal="right" vertical="top" wrapText="1"/>
    </xf>
    <xf numFmtId="166" fontId="7" fillId="0" borderId="12" xfId="0" applyNumberFormat="1" applyFont="1" applyBorder="1" applyAlignment="1">
      <alignment horizontal="right" vertical="top" wrapText="1"/>
    </xf>
    <xf numFmtId="168" fontId="7" fillId="0" borderId="7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3" fontId="8" fillId="0" borderId="11" xfId="0" applyNumberFormat="1" applyFont="1" applyBorder="1" applyAlignment="1">
      <alignment horizontal="right" vertical="top"/>
    </xf>
    <xf numFmtId="166" fontId="8" fillId="0" borderId="11" xfId="0" applyNumberFormat="1" applyFont="1" applyBorder="1" applyAlignment="1">
      <alignment horizontal="right" vertical="top"/>
    </xf>
    <xf numFmtId="168" fontId="8" fillId="0" borderId="11" xfId="0" applyNumberFormat="1" applyFont="1" applyBorder="1" applyAlignment="1">
      <alignment horizontal="right" vertical="top"/>
    </xf>
    <xf numFmtId="0" fontId="8" fillId="0" borderId="11" xfId="0" applyFont="1" applyBorder="1" applyAlignment="1">
      <alignment horizontal="right" vertical="top"/>
    </xf>
    <xf numFmtId="0" fontId="8" fillId="0" borderId="10" xfId="0" applyFont="1" applyBorder="1" applyAlignment="1">
      <alignment horizontal="left" vertical="top"/>
    </xf>
    <xf numFmtId="166" fontId="8" fillId="0" borderId="10" xfId="0" applyNumberFormat="1" applyFont="1" applyBorder="1" applyAlignment="1">
      <alignment horizontal="right" vertical="top"/>
    </xf>
    <xf numFmtId="0" fontId="8" fillId="0" borderId="10" xfId="0" applyFont="1" applyBorder="1" applyAlignment="1">
      <alignment horizontal="right" vertical="top"/>
    </xf>
    <xf numFmtId="10" fontId="7" fillId="0" borderId="12" xfId="1" applyNumberFormat="1" applyFont="1" applyFill="1" applyBorder="1" applyAlignment="1">
      <alignment horizontal="right" vertical="top" wrapText="1"/>
    </xf>
    <xf numFmtId="0" fontId="8" fillId="0" borderId="13" xfId="0" applyFont="1" applyBorder="1" applyAlignment="1">
      <alignment horizontal="left" vertical="top" wrapText="1"/>
    </xf>
    <xf numFmtId="164" fontId="8" fillId="0" borderId="10" xfId="0" applyNumberFormat="1" applyFont="1" applyBorder="1" applyAlignment="1">
      <alignment horizontal="righ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3" fillId="4" borderId="0" xfId="0" applyFont="1" applyFill="1"/>
    <xf numFmtId="4" fontId="3" fillId="4" borderId="0" xfId="0" applyNumberFormat="1" applyFont="1" applyFill="1"/>
    <xf numFmtId="0" fontId="12" fillId="4" borderId="0" xfId="0" applyFont="1" applyFill="1" applyAlignment="1">
      <alignment horizontal="left" vertical="top"/>
    </xf>
    <xf numFmtId="0" fontId="13" fillId="4" borderId="0" xfId="0" applyFont="1" applyFill="1" applyAlignment="1">
      <alignment horizontal="left" vertical="top" wrapText="1"/>
    </xf>
    <xf numFmtId="0" fontId="14" fillId="4" borderId="0" xfId="0" applyFont="1" applyFill="1" applyAlignment="1">
      <alignment horizontal="left" vertical="top" wrapText="1"/>
    </xf>
    <xf numFmtId="4" fontId="14" fillId="4" borderId="0" xfId="0" applyNumberFormat="1" applyFont="1" applyFill="1" applyAlignment="1">
      <alignment horizontal="left" vertical="top" wrapText="1"/>
    </xf>
    <xf numFmtId="0" fontId="15" fillId="4" borderId="15" xfId="0" applyFont="1" applyFill="1" applyBorder="1" applyAlignment="1">
      <alignment horizontal="left" vertical="center"/>
    </xf>
    <xf numFmtId="0" fontId="15" fillId="4" borderId="16" xfId="0" applyFont="1" applyFill="1" applyBorder="1" applyAlignment="1">
      <alignment horizontal="center" vertical="center" wrapText="1"/>
    </xf>
    <xf numFmtId="4" fontId="15" fillId="4" borderId="16" xfId="0" applyNumberFormat="1" applyFont="1" applyFill="1" applyBorder="1" applyAlignment="1">
      <alignment horizontal="center" vertical="center" wrapText="1"/>
    </xf>
    <xf numFmtId="4" fontId="15" fillId="4" borderId="17" xfId="0" applyNumberFormat="1" applyFont="1" applyFill="1" applyBorder="1" applyAlignment="1">
      <alignment horizontal="center" vertical="center" wrapText="1"/>
    </xf>
    <xf numFmtId="0" fontId="2" fillId="4" borderId="18" xfId="0" applyFont="1" applyFill="1" applyBorder="1"/>
    <xf numFmtId="0" fontId="3" fillId="4" borderId="19" xfId="0" applyFont="1" applyFill="1" applyBorder="1"/>
    <xf numFmtId="4" fontId="3" fillId="4" borderId="19" xfId="0" applyNumberFormat="1" applyFont="1" applyFill="1" applyBorder="1"/>
    <xf numFmtId="0" fontId="2" fillId="4" borderId="20" xfId="0" applyFont="1" applyFill="1" applyBorder="1"/>
    <xf numFmtId="0" fontId="3" fillId="4" borderId="21" xfId="0" applyFont="1" applyFill="1" applyBorder="1"/>
    <xf numFmtId="4" fontId="3" fillId="4" borderId="21" xfId="0" applyNumberFormat="1" applyFont="1" applyFill="1" applyBorder="1"/>
    <xf numFmtId="0" fontId="3" fillId="4" borderId="20" xfId="0" applyFont="1" applyFill="1" applyBorder="1"/>
    <xf numFmtId="3" fontId="3" fillId="4" borderId="21" xfId="0" applyNumberFormat="1" applyFont="1" applyFill="1" applyBorder="1"/>
    <xf numFmtId="0" fontId="2" fillId="4" borderId="22" xfId="0" applyFont="1" applyFill="1" applyBorder="1"/>
    <xf numFmtId="0" fontId="2" fillId="4" borderId="23" xfId="0" applyFont="1" applyFill="1" applyBorder="1"/>
    <xf numFmtId="4" fontId="2" fillId="4" borderId="24" xfId="0" applyNumberFormat="1" applyFont="1" applyFill="1" applyBorder="1"/>
    <xf numFmtId="0" fontId="2" fillId="4" borderId="25" xfId="0" applyFont="1" applyFill="1" applyBorder="1"/>
    <xf numFmtId="4" fontId="2" fillId="4" borderId="25" xfId="0" applyNumberFormat="1" applyFont="1" applyFill="1" applyBorder="1"/>
    <xf numFmtId="4" fontId="2" fillId="4" borderId="0" xfId="0" applyNumberFormat="1" applyFont="1" applyFill="1"/>
    <xf numFmtId="0" fontId="2" fillId="4" borderId="19" xfId="0" applyFont="1" applyFill="1" applyBorder="1"/>
    <xf numFmtId="0" fontId="2" fillId="4" borderId="21" xfId="0" applyFont="1" applyFill="1" applyBorder="1"/>
    <xf numFmtId="0" fontId="2" fillId="4" borderId="26" xfId="0" applyFont="1" applyFill="1" applyBorder="1"/>
    <xf numFmtId="0" fontId="2" fillId="4" borderId="27" xfId="0" applyFont="1" applyFill="1" applyBorder="1"/>
    <xf numFmtId="0" fontId="3" fillId="4" borderId="28" xfId="0" applyFont="1" applyFill="1" applyBorder="1"/>
    <xf numFmtId="4" fontId="3" fillId="4" borderId="28" xfId="0" applyNumberFormat="1" applyFont="1" applyFill="1" applyBorder="1"/>
    <xf numFmtId="4" fontId="2" fillId="4" borderId="23" xfId="0" applyNumberFormat="1" applyFont="1" applyFill="1" applyBorder="1"/>
    <xf numFmtId="0" fontId="2" fillId="4" borderId="29" xfId="0" applyFont="1" applyFill="1" applyBorder="1"/>
    <xf numFmtId="4" fontId="2" fillId="4" borderId="29" xfId="0" applyNumberFormat="1" applyFont="1" applyFill="1" applyBorder="1"/>
    <xf numFmtId="0" fontId="2" fillId="4" borderId="2" xfId="0" applyFont="1" applyFill="1" applyBorder="1"/>
    <xf numFmtId="4" fontId="2" fillId="4" borderId="2" xfId="0" applyNumberFormat="1" applyFont="1" applyFill="1" applyBorder="1"/>
    <xf numFmtId="0" fontId="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15" fontId="19" fillId="0" borderId="0" xfId="0" applyNumberFormat="1" applyFont="1" applyAlignment="1">
      <alignment horizontal="left" vertical="top"/>
    </xf>
    <xf numFmtId="43" fontId="17" fillId="0" borderId="0" xfId="0" applyNumberFormat="1" applyFont="1" applyAlignment="1">
      <alignment vertical="top"/>
    </xf>
    <xf numFmtId="10" fontId="1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10" fillId="0" borderId="0" xfId="0" applyFont="1" applyAlignment="1">
      <alignment vertical="top"/>
    </xf>
    <xf numFmtId="15" fontId="10" fillId="0" borderId="0" xfId="0" applyNumberFormat="1" applyFont="1" applyAlignment="1">
      <alignment horizontal="left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9" fontId="17" fillId="0" borderId="0" xfId="0" applyNumberFormat="1" applyFont="1" applyAlignment="1">
      <alignment vertical="top"/>
    </xf>
    <xf numFmtId="10" fontId="18" fillId="0" borderId="0" xfId="0" applyNumberFormat="1" applyFont="1" applyAlignment="1">
      <alignment vertical="top"/>
    </xf>
    <xf numFmtId="0" fontId="7" fillId="0" borderId="33" xfId="0" applyFont="1" applyBorder="1" applyAlignment="1">
      <alignment vertical="top"/>
    </xf>
    <xf numFmtId="0" fontId="7" fillId="0" borderId="34" xfId="0" applyFont="1" applyBorder="1" applyAlignment="1">
      <alignment horizontal="center" vertical="top"/>
    </xf>
    <xf numFmtId="169" fontId="7" fillId="0" borderId="34" xfId="0" applyNumberFormat="1" applyFont="1" applyBorder="1" applyAlignment="1">
      <alignment horizontal="center" vertical="top"/>
    </xf>
    <xf numFmtId="43" fontId="7" fillId="0" borderId="34" xfId="0" applyNumberFormat="1" applyFont="1" applyBorder="1" applyAlignment="1">
      <alignment horizontal="center" vertical="top" wrapText="1"/>
    </xf>
    <xf numFmtId="10" fontId="7" fillId="0" borderId="35" xfId="0" applyNumberFormat="1" applyFont="1" applyBorder="1" applyAlignment="1">
      <alignment horizontal="center" vertical="top" wrapText="1"/>
    </xf>
    <xf numFmtId="10" fontId="7" fillId="0" borderId="36" xfId="0" applyNumberFormat="1" applyFont="1" applyBorder="1" applyAlignment="1">
      <alignment horizontal="center" vertical="top"/>
    </xf>
    <xf numFmtId="0" fontId="10" fillId="6" borderId="0" xfId="0" applyFont="1" applyFill="1" applyAlignment="1">
      <alignment vertical="top"/>
    </xf>
    <xf numFmtId="0" fontId="7" fillId="0" borderId="37" xfId="0" applyFont="1" applyBorder="1" applyAlignment="1">
      <alignment vertical="top"/>
    </xf>
    <xf numFmtId="0" fontId="8" fillId="0" borderId="38" xfId="0" applyFont="1" applyBorder="1" applyAlignment="1">
      <alignment vertical="top"/>
    </xf>
    <xf numFmtId="169" fontId="8" fillId="0" borderId="38" xfId="0" applyNumberFormat="1" applyFont="1" applyBorder="1" applyAlignment="1">
      <alignment vertical="top"/>
    </xf>
    <xf numFmtId="43" fontId="8" fillId="0" borderId="3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7" fillId="6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6" borderId="7" xfId="0" applyNumberFormat="1" applyFont="1" applyFill="1" applyBorder="1" applyAlignment="1">
      <alignment horizontal="right" vertical="top"/>
    </xf>
    <xf numFmtId="10" fontId="7" fillId="6" borderId="9" xfId="0" applyNumberFormat="1" applyFont="1" applyFill="1" applyBorder="1" applyAlignment="1">
      <alignment horizontal="right" vertical="top"/>
    </xf>
    <xf numFmtId="43" fontId="7" fillId="6" borderId="43" xfId="0" applyNumberFormat="1" applyFont="1" applyFill="1" applyBorder="1" applyAlignment="1">
      <alignment horizontal="right" vertical="top"/>
    </xf>
    <xf numFmtId="10" fontId="7" fillId="6" borderId="44" xfId="0" applyNumberFormat="1" applyFont="1" applyFill="1" applyBorder="1" applyAlignment="1">
      <alignment horizontal="right" vertical="top"/>
    </xf>
    <xf numFmtId="169" fontId="8" fillId="0" borderId="39" xfId="0" applyNumberFormat="1" applyFont="1" applyBorder="1" applyAlignment="1">
      <alignment vertical="top"/>
    </xf>
    <xf numFmtId="10" fontId="7" fillId="6" borderId="7" xfId="0" applyNumberFormat="1" applyFont="1" applyFill="1" applyBorder="1" applyAlignment="1">
      <alignment horizontal="right" vertical="top"/>
    </xf>
    <xf numFmtId="10" fontId="8" fillId="0" borderId="45" xfId="0" applyNumberFormat="1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8" fillId="0" borderId="43" xfId="0" applyFont="1" applyBorder="1" applyAlignment="1">
      <alignment vertical="top"/>
    </xf>
    <xf numFmtId="169" fontId="8" fillId="0" borderId="43" xfId="0" applyNumberFormat="1" applyFont="1" applyBorder="1" applyAlignment="1">
      <alignment vertical="top"/>
    </xf>
    <xf numFmtId="43" fontId="7" fillId="6" borderId="10" xfId="0" applyNumberFormat="1" applyFont="1" applyFill="1" applyBorder="1" applyAlignment="1">
      <alignment horizontal="right" vertical="top"/>
    </xf>
    <xf numFmtId="10" fontId="7" fillId="6" borderId="47" xfId="0" applyNumberFormat="1" applyFont="1" applyFill="1" applyBorder="1" applyAlignment="1">
      <alignment horizontal="right" vertical="top"/>
    </xf>
    <xf numFmtId="10" fontId="8" fillId="0" borderId="48" xfId="0" applyNumberFormat="1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8" fillId="0" borderId="50" xfId="0" applyFont="1" applyBorder="1" applyAlignment="1">
      <alignment vertical="top"/>
    </xf>
    <xf numFmtId="169" fontId="8" fillId="0" borderId="50" xfId="0" applyNumberFormat="1" applyFont="1" applyBorder="1" applyAlignment="1">
      <alignment vertical="top"/>
    </xf>
    <xf numFmtId="43" fontId="7" fillId="6" borderId="50" xfId="0" applyNumberFormat="1" applyFont="1" applyFill="1" applyBorder="1" applyAlignment="1">
      <alignment horizontal="right" vertical="top"/>
    </xf>
    <xf numFmtId="10" fontId="7" fillId="6" borderId="51" xfId="0" applyNumberFormat="1" applyFont="1" applyFill="1" applyBorder="1" applyAlignment="1">
      <alignment horizontal="right" vertical="top"/>
    </xf>
    <xf numFmtId="10" fontId="8" fillId="0" borderId="52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8" fillId="0" borderId="53" xfId="0" applyFont="1" applyBorder="1" applyAlignment="1">
      <alignment vertical="top"/>
    </xf>
    <xf numFmtId="169" fontId="8" fillId="0" borderId="53" xfId="0" applyNumberFormat="1" applyFont="1" applyBorder="1" applyAlignment="1">
      <alignment vertical="top"/>
    </xf>
    <xf numFmtId="43" fontId="7" fillId="6" borderId="54" xfId="0" applyNumberFormat="1" applyFont="1" applyFill="1" applyBorder="1" applyAlignment="1">
      <alignment horizontal="right" vertical="top"/>
    </xf>
    <xf numFmtId="10" fontId="7" fillId="6" borderId="55" xfId="0" applyNumberFormat="1" applyFont="1" applyFill="1" applyBorder="1" applyAlignment="1">
      <alignment horizontal="right" vertical="top"/>
    </xf>
    <xf numFmtId="10" fontId="8" fillId="0" borderId="56" xfId="0" applyNumberFormat="1" applyFont="1" applyBorder="1" applyAlignment="1">
      <alignment vertical="top"/>
    </xf>
    <xf numFmtId="169" fontId="8" fillId="0" borderId="57" xfId="0" applyNumberFormat="1" applyFont="1" applyBorder="1" applyAlignment="1">
      <alignment vertical="top"/>
    </xf>
    <xf numFmtId="10" fontId="8" fillId="0" borderId="58" xfId="0" applyNumberFormat="1" applyFont="1" applyBorder="1" applyAlignment="1">
      <alignment vertical="top"/>
    </xf>
    <xf numFmtId="0" fontId="7" fillId="0" borderId="59" xfId="0" applyFont="1" applyBorder="1" applyAlignment="1">
      <alignment vertical="top"/>
    </xf>
    <xf numFmtId="0" fontId="8" fillId="0" borderId="54" xfId="0" applyFont="1" applyBorder="1" applyAlignment="1">
      <alignment vertical="top"/>
    </xf>
    <xf numFmtId="169" fontId="8" fillId="0" borderId="55" xfId="0" applyNumberFormat="1" applyFont="1" applyBorder="1" applyAlignment="1">
      <alignment vertical="top"/>
    </xf>
    <xf numFmtId="10" fontId="7" fillId="6" borderId="43" xfId="0" applyNumberFormat="1" applyFont="1" applyFill="1" applyBorder="1" applyAlignment="1">
      <alignment horizontal="right" vertical="top"/>
    </xf>
    <xf numFmtId="10" fontId="8" fillId="0" borderId="60" xfId="0" applyNumberFormat="1" applyFont="1" applyBorder="1" applyAlignment="1">
      <alignment vertical="top"/>
    </xf>
    <xf numFmtId="0" fontId="7" fillId="0" borderId="61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169" fontId="8" fillId="0" borderId="7" xfId="0" applyNumberFormat="1" applyFont="1" applyBorder="1" applyAlignment="1">
      <alignment vertical="top"/>
    </xf>
    <xf numFmtId="10" fontId="8" fillId="0" borderId="62" xfId="0" applyNumberFormat="1" applyFont="1" applyBorder="1" applyAlignment="1">
      <alignment vertical="top"/>
    </xf>
    <xf numFmtId="0" fontId="8" fillId="0" borderId="63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169" fontId="8" fillId="0" borderId="10" xfId="0" applyNumberFormat="1" applyFont="1" applyBorder="1" applyAlignment="1">
      <alignment vertical="top"/>
    </xf>
    <xf numFmtId="43" fontId="8" fillId="0" borderId="10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8" fillId="0" borderId="64" xfId="0" applyNumberFormat="1" applyFont="1" applyBorder="1" applyAlignment="1">
      <alignment vertical="top"/>
    </xf>
    <xf numFmtId="0" fontId="7" fillId="0" borderId="65" xfId="0" applyFont="1" applyBorder="1" applyAlignment="1">
      <alignment vertical="top"/>
    </xf>
    <xf numFmtId="43" fontId="8" fillId="0" borderId="43" xfId="0" applyNumberFormat="1" applyFont="1" applyBorder="1" applyAlignment="1">
      <alignment horizontal="right" vertical="top"/>
    </xf>
    <xf numFmtId="10" fontId="8" fillId="0" borderId="44" xfId="0" applyNumberFormat="1" applyFont="1" applyBorder="1" applyAlignment="1">
      <alignment horizontal="right" vertical="top"/>
    </xf>
    <xf numFmtId="0" fontId="7" fillId="0" borderId="7" xfId="0" applyFont="1" applyBorder="1" applyAlignment="1">
      <alignment vertical="top"/>
    </xf>
    <xf numFmtId="169" fontId="7" fillId="0" borderId="7" xfId="0" applyNumberFormat="1" applyFont="1" applyBorder="1" applyAlignment="1">
      <alignment vertical="top"/>
    </xf>
    <xf numFmtId="43" fontId="7" fillId="0" borderId="7" xfId="0" applyNumberFormat="1" applyFont="1" applyBorder="1" applyAlignment="1">
      <alignment horizontal="right" vertical="top"/>
    </xf>
    <xf numFmtId="10" fontId="7" fillId="0" borderId="7" xfId="0" applyNumberFormat="1" applyFont="1" applyBorder="1" applyAlignment="1">
      <alignment horizontal="right" vertical="top"/>
    </xf>
    <xf numFmtId="10" fontId="7" fillId="0" borderId="62" xfId="0" applyNumberFormat="1" applyFont="1" applyBorder="1" applyAlignment="1">
      <alignment vertical="top"/>
    </xf>
    <xf numFmtId="0" fontId="8" fillId="0" borderId="66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169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67" xfId="0" applyNumberFormat="1" applyFont="1" applyBorder="1" applyAlignment="1">
      <alignment horizontal="right" vertical="top"/>
    </xf>
    <xf numFmtId="10" fontId="8" fillId="0" borderId="68" xfId="0" applyNumberFormat="1" applyFont="1" applyBorder="1" applyAlignment="1">
      <alignment vertical="top"/>
    </xf>
    <xf numFmtId="0" fontId="8" fillId="0" borderId="69" xfId="0" applyFont="1" applyBorder="1" applyAlignment="1">
      <alignment vertical="top"/>
    </xf>
    <xf numFmtId="0" fontId="7" fillId="6" borderId="70" xfId="0" applyFont="1" applyFill="1" applyBorder="1" applyAlignment="1">
      <alignment vertical="top"/>
    </xf>
    <xf numFmtId="0" fontId="7" fillId="6" borderId="71" xfId="0" applyFont="1" applyFill="1" applyBorder="1" applyAlignment="1">
      <alignment vertical="top"/>
    </xf>
    <xf numFmtId="169" fontId="7" fillId="6" borderId="71" xfId="0" applyNumberFormat="1" applyFont="1" applyFill="1" applyBorder="1" applyAlignment="1">
      <alignment vertical="top"/>
    </xf>
    <xf numFmtId="169" fontId="8" fillId="0" borderId="71" xfId="0" applyNumberFormat="1" applyFont="1" applyBorder="1" applyAlignment="1">
      <alignment vertical="top"/>
    </xf>
    <xf numFmtId="43" fontId="7" fillId="0" borderId="71" xfId="0" applyNumberFormat="1" applyFont="1" applyBorder="1" applyAlignment="1">
      <alignment horizontal="right" vertical="top"/>
    </xf>
    <xf numFmtId="10" fontId="7" fillId="0" borderId="72" xfId="0" applyNumberFormat="1" applyFont="1" applyBorder="1" applyAlignment="1">
      <alignment horizontal="right" vertical="top"/>
    </xf>
    <xf numFmtId="10" fontId="8" fillId="0" borderId="73" xfId="0" applyNumberFormat="1" applyFont="1" applyBorder="1" applyAlignment="1">
      <alignment vertical="top"/>
    </xf>
    <xf numFmtId="0" fontId="20" fillId="0" borderId="0" xfId="0" applyFont="1"/>
    <xf numFmtId="2" fontId="20" fillId="0" borderId="0" xfId="0" applyNumberFormat="1" applyFont="1"/>
    <xf numFmtId="4" fontId="20" fillId="0" borderId="0" xfId="0" applyNumberFormat="1" applyFont="1"/>
    <xf numFmtId="2" fontId="20" fillId="0" borderId="76" xfId="0" applyNumberFormat="1" applyFont="1" applyBorder="1"/>
    <xf numFmtId="0" fontId="21" fillId="0" borderId="0" xfId="0" applyFont="1"/>
    <xf numFmtId="4" fontId="21" fillId="0" borderId="77" xfId="0" applyNumberFormat="1" applyFont="1" applyBorder="1"/>
    <xf numFmtId="2" fontId="21" fillId="0" borderId="78" xfId="0" applyNumberFormat="1" applyFont="1" applyBorder="1"/>
    <xf numFmtId="0" fontId="22" fillId="0" borderId="0" xfId="0" applyFont="1"/>
    <xf numFmtId="4" fontId="21" fillId="0" borderId="0" xfId="0" applyNumberFormat="1" applyFont="1"/>
    <xf numFmtId="2" fontId="21" fillId="0" borderId="76" xfId="0" applyNumberFormat="1" applyFont="1" applyBorder="1"/>
    <xf numFmtId="0" fontId="23" fillId="0" borderId="74" xfId="0" applyFont="1" applyBorder="1"/>
    <xf numFmtId="0" fontId="24" fillId="0" borderId="74" xfId="0" applyFont="1" applyBorder="1"/>
    <xf numFmtId="2" fontId="23" fillId="0" borderId="74" xfId="0" applyNumberFormat="1" applyFont="1" applyBorder="1"/>
    <xf numFmtId="4" fontId="23" fillId="0" borderId="74" xfId="0" applyNumberFormat="1" applyFont="1" applyBorder="1"/>
    <xf numFmtId="2" fontId="23" fillId="0" borderId="75" xfId="0" applyNumberFormat="1" applyFont="1" applyBorder="1"/>
    <xf numFmtId="0" fontId="24" fillId="0" borderId="0" xfId="0" applyFont="1" applyAlignment="1">
      <alignment wrapText="1"/>
    </xf>
    <xf numFmtId="2" fontId="24" fillId="0" borderId="0" xfId="0" applyNumberFormat="1" applyFont="1" applyAlignment="1">
      <alignment wrapText="1"/>
    </xf>
    <xf numFmtId="4" fontId="24" fillId="0" borderId="0" xfId="0" applyNumberFormat="1" applyFont="1" applyAlignment="1">
      <alignment wrapText="1"/>
    </xf>
    <xf numFmtId="2" fontId="24" fillId="0" borderId="76" xfId="0" applyNumberFormat="1" applyFont="1" applyBorder="1" applyAlignment="1">
      <alignment wrapText="1"/>
    </xf>
    <xf numFmtId="0" fontId="23" fillId="0" borderId="0" xfId="0" applyFont="1"/>
    <xf numFmtId="2" fontId="23" fillId="0" borderId="0" xfId="0" applyNumberFormat="1" applyFont="1"/>
    <xf numFmtId="4" fontId="23" fillId="0" borderId="0" xfId="0" applyNumberFormat="1" applyFont="1"/>
    <xf numFmtId="2" fontId="23" fillId="0" borderId="76" xfId="0" applyNumberFormat="1" applyFont="1" applyBorder="1"/>
    <xf numFmtId="0" fontId="23" fillId="0" borderId="0" xfId="0" applyFont="1" applyAlignment="1">
      <alignment horizontal="right"/>
    </xf>
    <xf numFmtId="2" fontId="23" fillId="0" borderId="76" xfId="0" applyNumberFormat="1" applyFont="1" applyBorder="1" applyAlignment="1">
      <alignment horizontal="right"/>
    </xf>
    <xf numFmtId="0" fontId="24" fillId="0" borderId="0" xfId="0" applyFont="1"/>
    <xf numFmtId="4" fontId="24" fillId="0" borderId="77" xfId="0" applyNumberFormat="1" applyFont="1" applyBorder="1"/>
    <xf numFmtId="2" fontId="24" fillId="0" borderId="78" xfId="0" applyNumberFormat="1" applyFont="1" applyBorder="1"/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6" fillId="0" borderId="0" xfId="0" applyFont="1"/>
    <xf numFmtId="0" fontId="25" fillId="0" borderId="0" xfId="0" applyFont="1"/>
    <xf numFmtId="0" fontId="7" fillId="0" borderId="7" xfId="0" applyFont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2" borderId="8" xfId="0" applyFont="1" applyFill="1" applyBorder="1" applyAlignment="1">
      <alignment horizontal="center" vertical="top" wrapText="1"/>
    </xf>
    <xf numFmtId="0" fontId="8" fillId="0" borderId="7" xfId="0" applyFont="1" applyBorder="1" applyAlignment="1">
      <alignment horizontal="left" vertical="top" wrapText="1"/>
    </xf>
    <xf numFmtId="0" fontId="7" fillId="3" borderId="7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6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vertical="top"/>
    </xf>
    <xf numFmtId="169" fontId="8" fillId="0" borderId="30" xfId="0" applyNumberFormat="1" applyFont="1" applyBorder="1" applyAlignment="1">
      <alignment vertical="top"/>
    </xf>
    <xf numFmtId="43" fontId="8" fillId="0" borderId="30" xfId="0" applyNumberFormat="1" applyFont="1" applyBorder="1" applyAlignment="1">
      <alignment vertical="top"/>
    </xf>
    <xf numFmtId="10" fontId="8" fillId="0" borderId="30" xfId="0" applyNumberFormat="1" applyFont="1" applyBorder="1" applyAlignment="1">
      <alignment vertical="top"/>
    </xf>
    <xf numFmtId="0" fontId="8" fillId="0" borderId="31" xfId="0" applyFont="1" applyBorder="1" applyAlignment="1">
      <alignment vertical="top"/>
    </xf>
    <xf numFmtId="169" fontId="8" fillId="0" borderId="31" xfId="0" applyNumberFormat="1" applyFont="1" applyBorder="1" applyAlignment="1">
      <alignment vertical="top"/>
    </xf>
    <xf numFmtId="43" fontId="8" fillId="0" borderId="31" xfId="0" applyNumberFormat="1" applyFont="1" applyBorder="1" applyAlignment="1">
      <alignment vertical="top"/>
    </xf>
    <xf numFmtId="10" fontId="8" fillId="0" borderId="31" xfId="0" applyNumberFormat="1" applyFont="1" applyBorder="1" applyAlignment="1">
      <alignment vertical="top"/>
    </xf>
    <xf numFmtId="0" fontId="17" fillId="0" borderId="32" xfId="0" applyFont="1" applyBorder="1" applyAlignment="1">
      <alignment horizontal="center" vertical="center" wrapText="1"/>
    </xf>
    <xf numFmtId="0" fontId="8" fillId="0" borderId="32" xfId="0" applyFont="1" applyBorder="1" applyAlignment="1">
      <alignment vertical="top"/>
    </xf>
    <xf numFmtId="169" fontId="8" fillId="0" borderId="32" xfId="0" applyNumberFormat="1" applyFont="1" applyBorder="1" applyAlignment="1">
      <alignment vertical="top"/>
    </xf>
    <xf numFmtId="43" fontId="8" fillId="0" borderId="32" xfId="0" applyNumberFormat="1" applyFont="1" applyBorder="1" applyAlignment="1">
      <alignment vertical="top"/>
    </xf>
    <xf numFmtId="10" fontId="8" fillId="0" borderId="32" xfId="0" applyNumberFormat="1" applyFont="1" applyBorder="1" applyAlignment="1">
      <alignment vertical="top"/>
    </xf>
    <xf numFmtId="0" fontId="27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B849E23-F3A3-B746-9BA9-83AADD533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0"/>
          <a:ext cx="847725" cy="266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279D-3675-4F4D-A1AA-D97AF87098FD}">
  <dimension ref="A1:G71"/>
  <sheetViews>
    <sheetView workbookViewId="0">
      <selection activeCell="J19" sqref="J19"/>
    </sheetView>
  </sheetViews>
  <sheetFormatPr baseColWidth="10" defaultRowHeight="16"/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1" t="s">
        <v>2</v>
      </c>
      <c r="C3" s="2"/>
      <c r="D3" s="2"/>
      <c r="E3" s="2"/>
      <c r="F3" s="2"/>
      <c r="G3" s="2"/>
    </row>
    <row r="4" spans="1:7" ht="39">
      <c r="A4" s="2"/>
      <c r="B4" s="3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5" t="s">
        <v>8</v>
      </c>
    </row>
    <row r="5" spans="1:7">
      <c r="A5" s="2"/>
      <c r="B5" s="7" t="s">
        <v>9</v>
      </c>
      <c r="C5" s="8"/>
      <c r="D5" s="9"/>
      <c r="E5" s="8"/>
      <c r="F5" s="8"/>
      <c r="G5" s="10"/>
    </row>
    <row r="6" spans="1:7">
      <c r="A6" s="2"/>
      <c r="B6" s="7" t="s">
        <v>10</v>
      </c>
      <c r="C6" s="8"/>
      <c r="D6" s="9"/>
      <c r="E6" s="11"/>
      <c r="F6" s="12"/>
      <c r="G6" s="10"/>
    </row>
    <row r="7" spans="1:7">
      <c r="A7" s="2"/>
      <c r="B7" s="13" t="s">
        <v>11</v>
      </c>
      <c r="C7" s="14" t="s">
        <v>12</v>
      </c>
      <c r="D7" s="15" t="s">
        <v>13</v>
      </c>
      <c r="E7" s="16">
        <v>5199145</v>
      </c>
      <c r="F7" s="17">
        <v>85317.97</v>
      </c>
      <c r="G7" s="18">
        <v>0.18064642868235301</v>
      </c>
    </row>
    <row r="8" spans="1:7">
      <c r="A8" s="2"/>
      <c r="B8" s="13" t="s">
        <v>14</v>
      </c>
      <c r="C8" s="14" t="s">
        <v>15</v>
      </c>
      <c r="D8" s="15" t="s">
        <v>13</v>
      </c>
      <c r="E8" s="16">
        <v>1316793</v>
      </c>
      <c r="F8" s="17">
        <v>41135.300000000003</v>
      </c>
      <c r="G8" s="18">
        <v>8.7097061243903803E-2</v>
      </c>
    </row>
    <row r="9" spans="1:7">
      <c r="A9" s="2"/>
      <c r="B9" s="13" t="s">
        <v>16</v>
      </c>
      <c r="C9" s="14" t="s">
        <v>17</v>
      </c>
      <c r="D9" s="15" t="s">
        <v>13</v>
      </c>
      <c r="E9" s="16">
        <v>2324243</v>
      </c>
      <c r="F9" s="17">
        <v>40513.879999999997</v>
      </c>
      <c r="G9" s="18">
        <v>8.5781315858928106E-2</v>
      </c>
    </row>
    <row r="10" spans="1:7">
      <c r="A10" s="2"/>
      <c r="B10" s="13" t="s">
        <v>18</v>
      </c>
      <c r="C10" s="14" t="s">
        <v>19</v>
      </c>
      <c r="D10" s="15" t="s">
        <v>20</v>
      </c>
      <c r="E10" s="16">
        <v>2048484</v>
      </c>
      <c r="F10" s="17">
        <v>40328.5</v>
      </c>
      <c r="G10" s="18">
        <v>8.53888150460477E-2</v>
      </c>
    </row>
    <row r="11" spans="1:7">
      <c r="A11" s="2"/>
      <c r="B11" s="13" t="s">
        <v>21</v>
      </c>
      <c r="C11" s="14" t="s">
        <v>22</v>
      </c>
      <c r="D11" s="15" t="s">
        <v>23</v>
      </c>
      <c r="E11" s="16">
        <v>9270621</v>
      </c>
      <c r="F11" s="17">
        <v>25364.42</v>
      </c>
      <c r="G11" s="18">
        <v>5.3704884769371797E-2</v>
      </c>
    </row>
    <row r="12" spans="1:7">
      <c r="A12" s="2"/>
      <c r="B12" s="13" t="s">
        <v>24</v>
      </c>
      <c r="C12" s="14" t="s">
        <v>25</v>
      </c>
      <c r="D12" s="15" t="s">
        <v>13</v>
      </c>
      <c r="E12" s="16">
        <v>410074</v>
      </c>
      <c r="F12" s="17">
        <v>24499.87</v>
      </c>
      <c r="G12" s="18">
        <v>5.1874350167301103E-2</v>
      </c>
    </row>
    <row r="13" spans="1:7">
      <c r="A13" s="2"/>
      <c r="B13" s="13" t="s">
        <v>26</v>
      </c>
      <c r="C13" s="14" t="s">
        <v>27</v>
      </c>
      <c r="D13" s="15" t="s">
        <v>13</v>
      </c>
      <c r="E13" s="16">
        <v>1066945</v>
      </c>
      <c r="F13" s="17">
        <v>17645.14</v>
      </c>
      <c r="G13" s="18">
        <v>3.7360604062986899E-2</v>
      </c>
    </row>
    <row r="14" spans="1:7">
      <c r="A14" s="2"/>
      <c r="B14" s="13" t="s">
        <v>28</v>
      </c>
      <c r="C14" s="14" t="s">
        <v>29</v>
      </c>
      <c r="D14" s="15" t="s">
        <v>23</v>
      </c>
      <c r="E14" s="16">
        <v>4580652</v>
      </c>
      <c r="F14" s="17">
        <v>14188.57</v>
      </c>
      <c r="G14" s="18">
        <v>3.0041906030519299E-2</v>
      </c>
    </row>
    <row r="15" spans="1:7">
      <c r="A15" s="2"/>
      <c r="B15" s="13" t="s">
        <v>30</v>
      </c>
      <c r="C15" s="14" t="s">
        <v>31</v>
      </c>
      <c r="D15" s="15" t="s">
        <v>13</v>
      </c>
      <c r="E15" s="16">
        <v>232605</v>
      </c>
      <c r="F15" s="17">
        <v>14037.71</v>
      </c>
      <c r="G15" s="18">
        <v>2.9722490008343799E-2</v>
      </c>
    </row>
    <row r="16" spans="1:7">
      <c r="A16" s="2"/>
      <c r="B16" s="13" t="s">
        <v>32</v>
      </c>
      <c r="C16" s="14" t="s">
        <v>33</v>
      </c>
      <c r="D16" s="15" t="s">
        <v>13</v>
      </c>
      <c r="E16" s="16">
        <v>826372</v>
      </c>
      <c r="F16" s="17">
        <v>14011.96</v>
      </c>
      <c r="G16" s="18">
        <v>2.9667972705693799E-2</v>
      </c>
    </row>
    <row r="17" spans="1:7">
      <c r="A17" s="2"/>
      <c r="B17" s="13" t="s">
        <v>34</v>
      </c>
      <c r="C17" s="14" t="s">
        <v>35</v>
      </c>
      <c r="D17" s="15" t="s">
        <v>36</v>
      </c>
      <c r="E17" s="16">
        <v>1125705</v>
      </c>
      <c r="F17" s="17">
        <v>12811.65</v>
      </c>
      <c r="G17" s="18">
        <v>2.7126507826499901E-2</v>
      </c>
    </row>
    <row r="18" spans="1:7">
      <c r="A18" s="2"/>
      <c r="B18" s="13" t="s">
        <v>37</v>
      </c>
      <c r="C18" s="14" t="s">
        <v>38</v>
      </c>
      <c r="D18" s="15" t="s">
        <v>39</v>
      </c>
      <c r="E18" s="16">
        <v>3421365</v>
      </c>
      <c r="F18" s="17">
        <v>10943.24</v>
      </c>
      <c r="G18" s="18">
        <v>2.3170458764914501E-2</v>
      </c>
    </row>
    <row r="19" spans="1:7">
      <c r="A19" s="2"/>
      <c r="B19" s="13" t="s">
        <v>40</v>
      </c>
      <c r="C19" s="14" t="s">
        <v>41</v>
      </c>
      <c r="D19" s="15" t="s">
        <v>13</v>
      </c>
      <c r="E19" s="16">
        <v>1300809</v>
      </c>
      <c r="F19" s="17">
        <v>7962.25</v>
      </c>
      <c r="G19" s="18">
        <v>1.6858727150792199E-2</v>
      </c>
    </row>
    <row r="20" spans="1:7">
      <c r="A20" s="2"/>
      <c r="B20" s="13" t="s">
        <v>42</v>
      </c>
      <c r="C20" s="14" t="s">
        <v>43</v>
      </c>
      <c r="D20" s="15" t="s">
        <v>13</v>
      </c>
      <c r="E20" s="16">
        <v>1883813</v>
      </c>
      <c r="F20" s="17">
        <v>7669</v>
      </c>
      <c r="G20" s="18">
        <v>1.6237821438977E-2</v>
      </c>
    </row>
    <row r="21" spans="1:7">
      <c r="A21" s="2"/>
      <c r="B21" s="13" t="s">
        <v>44</v>
      </c>
      <c r="C21" s="14" t="s">
        <v>45</v>
      </c>
      <c r="D21" s="15" t="s">
        <v>13</v>
      </c>
      <c r="E21" s="16">
        <v>1028848</v>
      </c>
      <c r="F21" s="17">
        <v>7176.73</v>
      </c>
      <c r="G21" s="18">
        <v>1.5195515227254101E-2</v>
      </c>
    </row>
    <row r="22" spans="1:7">
      <c r="A22" s="2"/>
      <c r="B22" s="13" t="s">
        <v>46</v>
      </c>
      <c r="C22" s="14" t="s">
        <v>47</v>
      </c>
      <c r="D22" s="15" t="s">
        <v>48</v>
      </c>
      <c r="E22" s="16">
        <v>429364</v>
      </c>
      <c r="F22" s="17">
        <v>7103.83</v>
      </c>
      <c r="G22" s="18">
        <v>1.50411578527426E-2</v>
      </c>
    </row>
    <row r="23" spans="1:7">
      <c r="A23" s="2"/>
      <c r="B23" s="13" t="s">
        <v>49</v>
      </c>
      <c r="C23" s="14" t="s">
        <v>50</v>
      </c>
      <c r="D23" s="15" t="s">
        <v>13</v>
      </c>
      <c r="E23" s="16">
        <v>1920884</v>
      </c>
      <c r="F23" s="17">
        <v>6094.96</v>
      </c>
      <c r="G23" s="18">
        <v>1.2905061559807E-2</v>
      </c>
    </row>
    <row r="24" spans="1:7">
      <c r="A24" s="2"/>
      <c r="B24" s="13" t="s">
        <v>51</v>
      </c>
      <c r="C24" s="14" t="s">
        <v>52</v>
      </c>
      <c r="D24" s="15" t="s">
        <v>53</v>
      </c>
      <c r="E24" s="16">
        <v>224235</v>
      </c>
      <c r="F24" s="17">
        <v>5668.66</v>
      </c>
      <c r="G24" s="18">
        <v>1.2002434370309E-2</v>
      </c>
    </row>
    <row r="25" spans="1:7">
      <c r="A25" s="2"/>
      <c r="B25" s="13" t="s">
        <v>54</v>
      </c>
      <c r="C25" s="14" t="s">
        <v>55</v>
      </c>
      <c r="D25" s="15" t="s">
        <v>13</v>
      </c>
      <c r="E25" s="16">
        <v>189382</v>
      </c>
      <c r="F25" s="17">
        <v>5225.05</v>
      </c>
      <c r="G25" s="18">
        <v>1.1063161913846299E-2</v>
      </c>
    </row>
    <row r="26" spans="1:7">
      <c r="A26" s="2"/>
      <c r="B26" s="13" t="s">
        <v>56</v>
      </c>
      <c r="C26" s="14" t="s">
        <v>57</v>
      </c>
      <c r="D26" s="15" t="s">
        <v>48</v>
      </c>
      <c r="E26" s="16">
        <v>423882</v>
      </c>
      <c r="F26" s="17">
        <v>4821.66</v>
      </c>
      <c r="G26" s="18">
        <v>1.02090480877718E-2</v>
      </c>
    </row>
    <row r="27" spans="1:7">
      <c r="A27" s="2"/>
      <c r="B27" s="13" t="s">
        <v>58</v>
      </c>
      <c r="C27" s="14" t="s">
        <v>59</v>
      </c>
      <c r="D27" s="15" t="s">
        <v>36</v>
      </c>
      <c r="E27" s="16">
        <v>1200747</v>
      </c>
      <c r="F27" s="17">
        <v>4403.1400000000003</v>
      </c>
      <c r="G27" s="18">
        <v>9.3229056604434892E-3</v>
      </c>
    </row>
    <row r="28" spans="1:7">
      <c r="A28" s="2"/>
      <c r="B28" s="13" t="s">
        <v>60</v>
      </c>
      <c r="C28" s="14" t="s">
        <v>61</v>
      </c>
      <c r="D28" s="15" t="s">
        <v>23</v>
      </c>
      <c r="E28" s="16">
        <v>3495080</v>
      </c>
      <c r="F28" s="17">
        <v>4343.6899999999996</v>
      </c>
      <c r="G28" s="18">
        <v>9.1970222008746407E-3</v>
      </c>
    </row>
    <row r="29" spans="1:7">
      <c r="A29" s="2"/>
      <c r="B29" s="13" t="s">
        <v>62</v>
      </c>
      <c r="C29" s="14" t="s">
        <v>63</v>
      </c>
      <c r="D29" s="15" t="s">
        <v>13</v>
      </c>
      <c r="E29" s="16">
        <v>658600</v>
      </c>
      <c r="F29" s="17">
        <v>4133.04</v>
      </c>
      <c r="G29" s="18">
        <v>8.7510251028478699E-3</v>
      </c>
    </row>
    <row r="30" spans="1:7">
      <c r="A30" s="2"/>
      <c r="B30" s="13" t="s">
        <v>64</v>
      </c>
      <c r="C30" s="14" t="s">
        <v>65</v>
      </c>
      <c r="D30" s="15" t="s">
        <v>36</v>
      </c>
      <c r="E30" s="16">
        <v>249808</v>
      </c>
      <c r="F30" s="17">
        <v>3865.03</v>
      </c>
      <c r="G30" s="18">
        <v>8.18354864781402E-3</v>
      </c>
    </row>
    <row r="31" spans="1:7">
      <c r="A31" s="2"/>
      <c r="B31" s="13" t="s">
        <v>66</v>
      </c>
      <c r="C31" s="14" t="s">
        <v>67</v>
      </c>
      <c r="D31" s="15" t="s">
        <v>68</v>
      </c>
      <c r="E31" s="16">
        <v>1010863</v>
      </c>
      <c r="F31" s="17">
        <v>3786.19</v>
      </c>
      <c r="G31" s="18">
        <v>8.0166139734642993E-3</v>
      </c>
    </row>
    <row r="32" spans="1:7">
      <c r="A32" s="2"/>
      <c r="B32" s="13" t="s">
        <v>69</v>
      </c>
      <c r="C32" s="14" t="s">
        <v>70</v>
      </c>
      <c r="D32" s="15" t="s">
        <v>71</v>
      </c>
      <c r="E32" s="16">
        <v>3155521</v>
      </c>
      <c r="F32" s="17">
        <v>3769.27</v>
      </c>
      <c r="G32" s="18">
        <v>7.9807939491760901E-3</v>
      </c>
    </row>
    <row r="33" spans="1:7">
      <c r="A33" s="2"/>
      <c r="B33" s="13" t="s">
        <v>18</v>
      </c>
      <c r="C33" s="14" t="s">
        <v>72</v>
      </c>
      <c r="D33" s="15" t="s">
        <v>20</v>
      </c>
      <c r="E33" s="16">
        <v>225419</v>
      </c>
      <c r="F33" s="17">
        <v>3525.78</v>
      </c>
      <c r="G33" s="18">
        <v>7.4652422312319004E-3</v>
      </c>
    </row>
    <row r="34" spans="1:7">
      <c r="A34" s="2"/>
      <c r="B34" s="13" t="s">
        <v>73</v>
      </c>
      <c r="C34" s="14" t="s">
        <v>74</v>
      </c>
      <c r="D34" s="15" t="s">
        <v>53</v>
      </c>
      <c r="E34" s="16">
        <v>137224</v>
      </c>
      <c r="F34" s="17">
        <v>3486.72</v>
      </c>
      <c r="G34" s="18">
        <v>7.3825520431352702E-3</v>
      </c>
    </row>
    <row r="35" spans="1:7">
      <c r="A35" s="2"/>
      <c r="B35" s="13" t="s">
        <v>75</v>
      </c>
      <c r="C35" s="14" t="s">
        <v>76</v>
      </c>
      <c r="D35" s="15" t="s">
        <v>53</v>
      </c>
      <c r="E35" s="16">
        <v>1924800</v>
      </c>
      <c r="F35" s="17">
        <v>3407.67</v>
      </c>
      <c r="G35" s="18">
        <v>7.2151585716221803E-3</v>
      </c>
    </row>
    <row r="36" spans="1:7">
      <c r="A36" s="2"/>
      <c r="B36" s="13" t="s">
        <v>77</v>
      </c>
      <c r="C36" s="14" t="s">
        <v>78</v>
      </c>
      <c r="D36" s="15" t="s">
        <v>13</v>
      </c>
      <c r="E36" s="16">
        <v>244781</v>
      </c>
      <c r="F36" s="17">
        <v>2550.37</v>
      </c>
      <c r="G36" s="18">
        <v>5.3999857287085999E-3</v>
      </c>
    </row>
    <row r="37" spans="1:7">
      <c r="A37" s="2"/>
      <c r="B37" s="13" t="s">
        <v>79</v>
      </c>
      <c r="C37" s="14" t="s">
        <v>80</v>
      </c>
      <c r="D37" s="15" t="s">
        <v>39</v>
      </c>
      <c r="E37" s="16">
        <v>808174</v>
      </c>
      <c r="F37" s="17">
        <v>2548.58</v>
      </c>
      <c r="G37" s="18">
        <v>5.3961818790552001E-3</v>
      </c>
    </row>
    <row r="38" spans="1:7">
      <c r="A38" s="2"/>
      <c r="B38" s="13" t="s">
        <v>81</v>
      </c>
      <c r="C38" s="14" t="s">
        <v>82</v>
      </c>
      <c r="D38" s="15" t="s">
        <v>83</v>
      </c>
      <c r="E38" s="16">
        <v>23384</v>
      </c>
      <c r="F38" s="17">
        <v>2442.69</v>
      </c>
      <c r="G38" s="18">
        <v>5.17199019889086E-3</v>
      </c>
    </row>
    <row r="39" spans="1:7">
      <c r="A39" s="2"/>
      <c r="B39" s="13" t="s">
        <v>84</v>
      </c>
      <c r="C39" s="14" t="s">
        <v>85</v>
      </c>
      <c r="D39" s="15" t="s">
        <v>13</v>
      </c>
      <c r="E39" s="16">
        <v>107622</v>
      </c>
      <c r="F39" s="17">
        <v>2207.4299999999998</v>
      </c>
      <c r="G39" s="18">
        <v>4.6738714402947499E-3</v>
      </c>
    </row>
    <row r="40" spans="1:7">
      <c r="A40" s="2"/>
      <c r="B40" s="13" t="s">
        <v>86</v>
      </c>
      <c r="C40" s="14" t="s">
        <v>87</v>
      </c>
      <c r="D40" s="15" t="s">
        <v>13</v>
      </c>
      <c r="E40" s="16">
        <v>303690</v>
      </c>
      <c r="F40" s="17">
        <v>1974.59</v>
      </c>
      <c r="G40" s="18">
        <v>4.1808667488204996E-3</v>
      </c>
    </row>
    <row r="41" spans="1:7">
      <c r="A41" s="2"/>
      <c r="B41" s="13" t="s">
        <v>88</v>
      </c>
      <c r="C41" s="14" t="s">
        <v>89</v>
      </c>
      <c r="D41" s="15" t="s">
        <v>48</v>
      </c>
      <c r="E41" s="16">
        <v>571041</v>
      </c>
      <c r="F41" s="17">
        <v>1302.5999999999999</v>
      </c>
      <c r="G41" s="18">
        <v>2.7580395207137099E-3</v>
      </c>
    </row>
    <row r="42" spans="1:7">
      <c r="A42" s="2"/>
      <c r="B42" s="7" t="s">
        <v>90</v>
      </c>
      <c r="C42" s="8"/>
      <c r="D42" s="9"/>
      <c r="E42" s="11"/>
      <c r="F42" s="19">
        <v>440267.14</v>
      </c>
      <c r="G42" s="20">
        <v>0.93219152066545796</v>
      </c>
    </row>
    <row r="43" spans="1:7">
      <c r="A43" s="2"/>
      <c r="B43" s="21" t="s">
        <v>91</v>
      </c>
      <c r="C43" s="22"/>
      <c r="D43" s="23"/>
      <c r="E43" s="24"/>
      <c r="F43" s="25">
        <v>440267.14</v>
      </c>
      <c r="G43" s="26">
        <v>0.93219152066545796</v>
      </c>
    </row>
    <row r="44" spans="1:7">
      <c r="A44" s="2"/>
      <c r="B44" s="7" t="s">
        <v>92</v>
      </c>
      <c r="C44" s="8"/>
      <c r="D44" s="9"/>
      <c r="E44" s="11"/>
      <c r="F44" s="12"/>
      <c r="G44" s="10"/>
    </row>
    <row r="45" spans="1:7">
      <c r="A45" s="2"/>
      <c r="B45" s="7" t="s">
        <v>93</v>
      </c>
      <c r="C45" s="8"/>
      <c r="D45" s="9"/>
      <c r="E45" s="11"/>
      <c r="F45" s="12"/>
      <c r="G45" s="10"/>
    </row>
    <row r="46" spans="1:7">
      <c r="A46" s="2"/>
      <c r="B46" s="13" t="s">
        <v>94</v>
      </c>
      <c r="C46" s="14" t="s">
        <v>95</v>
      </c>
      <c r="D46" s="15" t="s">
        <v>13</v>
      </c>
      <c r="E46" s="16">
        <v>94427</v>
      </c>
      <c r="F46" s="17">
        <v>7121.81</v>
      </c>
      <c r="G46" s="18">
        <v>1.50792360676639E-2</v>
      </c>
    </row>
    <row r="47" spans="1:7">
      <c r="A47" s="2"/>
      <c r="B47" s="13" t="s">
        <v>96</v>
      </c>
      <c r="C47" s="14" t="s">
        <v>97</v>
      </c>
      <c r="D47" s="15" t="s">
        <v>13</v>
      </c>
      <c r="E47" s="16">
        <v>4954</v>
      </c>
      <c r="F47" s="17">
        <v>1959.21</v>
      </c>
      <c r="G47" s="18">
        <v>4.1482879106878303E-3</v>
      </c>
    </row>
    <row r="48" spans="1:7">
      <c r="A48" s="2"/>
      <c r="B48" s="13" t="s">
        <v>98</v>
      </c>
      <c r="C48" s="14" t="s">
        <v>99</v>
      </c>
      <c r="D48" s="15" t="s">
        <v>13</v>
      </c>
      <c r="E48" s="16">
        <v>6068</v>
      </c>
      <c r="F48" s="17">
        <v>1635.48</v>
      </c>
      <c r="G48" s="18">
        <v>3.4628623486227198E-3</v>
      </c>
    </row>
    <row r="49" spans="1:7">
      <c r="A49" s="2"/>
      <c r="B49" s="7" t="s">
        <v>90</v>
      </c>
      <c r="C49" s="8"/>
      <c r="D49" s="9"/>
      <c r="E49" s="11"/>
      <c r="F49" s="19">
        <v>10716.5</v>
      </c>
      <c r="G49" s="20">
        <v>2.2690386326974999E-2</v>
      </c>
    </row>
    <row r="50" spans="1:7">
      <c r="A50" s="2"/>
      <c r="B50" s="21" t="s">
        <v>91</v>
      </c>
      <c r="C50" s="22"/>
      <c r="D50" s="23"/>
      <c r="E50" s="24"/>
      <c r="F50" s="25">
        <v>10716.5</v>
      </c>
      <c r="G50" s="26">
        <v>2.2690386326974999E-2</v>
      </c>
    </row>
    <row r="51" spans="1:7">
      <c r="A51" s="2"/>
      <c r="B51" s="7" t="s">
        <v>180</v>
      </c>
      <c r="C51" s="8"/>
      <c r="D51" s="9"/>
      <c r="E51" s="11"/>
      <c r="F51" s="12"/>
      <c r="G51" s="10"/>
    </row>
    <row r="52" spans="1:7">
      <c r="A52" s="2"/>
      <c r="B52" s="7" t="s">
        <v>181</v>
      </c>
      <c r="C52" s="8"/>
      <c r="D52" s="9"/>
      <c r="E52" s="11"/>
      <c r="F52" s="12"/>
      <c r="G52" s="10"/>
    </row>
    <row r="53" spans="1:7">
      <c r="A53" s="2"/>
      <c r="B53" s="13" t="s">
        <v>182</v>
      </c>
      <c r="C53" s="14" t="s">
        <v>183</v>
      </c>
      <c r="D53" s="15"/>
      <c r="E53" s="16">
        <v>4918263</v>
      </c>
      <c r="F53" s="17">
        <v>2021.9</v>
      </c>
      <c r="G53" s="18">
        <v>4.2810282597721397E-3</v>
      </c>
    </row>
    <row r="54" spans="1:7">
      <c r="A54" s="2"/>
      <c r="B54" s="7" t="s">
        <v>90</v>
      </c>
      <c r="C54" s="8"/>
      <c r="D54" s="9"/>
      <c r="E54" s="11"/>
      <c r="F54" s="19">
        <v>2021.9</v>
      </c>
      <c r="G54" s="20">
        <v>4.281028259772E-3</v>
      </c>
    </row>
    <row r="55" spans="1:7">
      <c r="A55" s="2"/>
      <c r="B55" s="7" t="s">
        <v>184</v>
      </c>
      <c r="C55" s="8"/>
      <c r="D55" s="9"/>
      <c r="E55" s="11"/>
      <c r="F55" s="12"/>
      <c r="G55" s="10"/>
    </row>
    <row r="56" spans="1:7">
      <c r="A56" s="2"/>
      <c r="B56" s="13" t="s">
        <v>185</v>
      </c>
      <c r="C56" s="14" t="s">
        <v>186</v>
      </c>
      <c r="D56" s="15"/>
      <c r="E56" s="16">
        <v>587617.02740000002</v>
      </c>
      <c r="F56" s="17">
        <v>8834.7199999999993</v>
      </c>
      <c r="G56" s="18">
        <v>1.8706025460760601E-2</v>
      </c>
    </row>
    <row r="57" spans="1:7">
      <c r="A57" s="2"/>
      <c r="B57" s="7" t="s">
        <v>90</v>
      </c>
      <c r="C57" s="8"/>
      <c r="D57" s="9"/>
      <c r="E57" s="11"/>
      <c r="F57" s="19">
        <v>8834.7199999999993</v>
      </c>
      <c r="G57" s="20">
        <v>1.8706025460761E-2</v>
      </c>
    </row>
    <row r="58" spans="1:7">
      <c r="A58" s="2"/>
      <c r="B58" s="13" t="s">
        <v>187</v>
      </c>
      <c r="C58" s="14"/>
      <c r="D58" s="15"/>
      <c r="E58" s="16"/>
      <c r="F58" s="17">
        <v>2786.92</v>
      </c>
      <c r="G58" s="18">
        <v>5.9008331072972903E-3</v>
      </c>
    </row>
    <row r="59" spans="1:7">
      <c r="A59" s="2"/>
      <c r="B59" s="13" t="s">
        <v>188</v>
      </c>
      <c r="C59" s="14"/>
      <c r="D59" s="15"/>
      <c r="E59" s="16"/>
      <c r="F59" s="17">
        <v>0.9</v>
      </c>
      <c r="G59" s="18" t="s">
        <v>189</v>
      </c>
    </row>
    <row r="60" spans="1:7">
      <c r="A60" s="2"/>
      <c r="B60" s="7" t="s">
        <v>90</v>
      </c>
      <c r="C60" s="8"/>
      <c r="D60" s="9"/>
      <c r="E60" s="11"/>
      <c r="F60" s="19">
        <v>2787.82</v>
      </c>
      <c r="G60" s="20">
        <v>5.9027286644610004E-3</v>
      </c>
    </row>
    <row r="61" spans="1:7">
      <c r="A61" s="2"/>
      <c r="B61" s="7" t="s">
        <v>190</v>
      </c>
      <c r="C61" s="8"/>
      <c r="D61" s="9"/>
      <c r="E61" s="11"/>
      <c r="F61" s="12"/>
      <c r="G61" s="10"/>
    </row>
    <row r="62" spans="1:7">
      <c r="A62" s="2"/>
      <c r="B62" s="13" t="s">
        <v>191</v>
      </c>
      <c r="C62" s="14"/>
      <c r="D62" s="15"/>
      <c r="E62" s="16"/>
      <c r="F62" s="17">
        <v>6914.99</v>
      </c>
      <c r="G62" s="18">
        <v>1.4641330436857E-2</v>
      </c>
    </row>
    <row r="63" spans="1:7">
      <c r="A63" s="2"/>
      <c r="B63" s="7" t="s">
        <v>90</v>
      </c>
      <c r="C63" s="8"/>
      <c r="D63" s="9"/>
      <c r="E63" s="11"/>
      <c r="F63" s="19">
        <v>6914.99</v>
      </c>
      <c r="G63" s="20">
        <v>1.4641330436857E-2</v>
      </c>
    </row>
    <row r="64" spans="1:7">
      <c r="A64" s="2"/>
      <c r="B64" s="21" t="s">
        <v>91</v>
      </c>
      <c r="C64" s="22"/>
      <c r="D64" s="23"/>
      <c r="E64" s="24"/>
      <c r="F64" s="25">
        <v>20559.43</v>
      </c>
      <c r="G64" s="26">
        <v>4.3531112821851001E-2</v>
      </c>
    </row>
    <row r="65" spans="1:7">
      <c r="A65" s="2"/>
      <c r="B65" s="21" t="s">
        <v>178</v>
      </c>
      <c r="C65" s="22"/>
      <c r="D65" s="23"/>
      <c r="E65" s="24"/>
      <c r="F65" s="46">
        <v>749.52</v>
      </c>
      <c r="G65" s="47">
        <v>1.5869801857160001E-3</v>
      </c>
    </row>
    <row r="66" spans="1:7">
      <c r="A66" s="2"/>
      <c r="B66" s="21" t="s">
        <v>179</v>
      </c>
      <c r="C66" s="22"/>
      <c r="D66" s="23"/>
      <c r="E66" s="24"/>
      <c r="F66" s="46">
        <v>472292.59</v>
      </c>
      <c r="G66" s="47">
        <v>1</v>
      </c>
    </row>
    <row r="67" spans="1:7">
      <c r="A67" s="2"/>
      <c r="B67" s="2"/>
      <c r="C67" s="2"/>
      <c r="D67" s="48"/>
      <c r="E67" s="49"/>
      <c r="F67" s="50"/>
      <c r="G67" s="51"/>
    </row>
    <row r="68" spans="1:7">
      <c r="A68" s="2"/>
      <c r="B68" s="2"/>
      <c r="C68" s="2"/>
      <c r="D68" s="48"/>
      <c r="E68" s="49"/>
      <c r="F68" s="50"/>
      <c r="G68" s="51"/>
    </row>
    <row r="69" spans="1:7">
      <c r="A69" s="2"/>
      <c r="B69" s="22" t="s">
        <v>192</v>
      </c>
      <c r="C69" s="22"/>
      <c r="D69" s="23" t="s">
        <v>193</v>
      </c>
      <c r="E69" s="52" t="s">
        <v>6</v>
      </c>
      <c r="F69" s="52" t="s">
        <v>194</v>
      </c>
      <c r="G69" s="47" t="s">
        <v>195</v>
      </c>
    </row>
    <row r="70" spans="1:7">
      <c r="A70" s="2"/>
      <c r="B70" s="22" t="s">
        <v>196</v>
      </c>
      <c r="C70" s="53"/>
      <c r="D70" s="54"/>
      <c r="E70" s="55"/>
      <c r="F70" s="55"/>
      <c r="G70" s="56"/>
    </row>
    <row r="71" spans="1:7">
      <c r="A71" s="2"/>
      <c r="B71" s="53" t="s">
        <v>197</v>
      </c>
      <c r="C71" s="53"/>
      <c r="D71" s="54" t="s">
        <v>53</v>
      </c>
      <c r="E71" s="55">
        <v>186750</v>
      </c>
      <c r="F71" s="55">
        <v>5226.1987499999996</v>
      </c>
      <c r="G71" s="56">
        <v>1.1065595511212001E-2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17E3-E4D2-E24B-BF25-BBB57D26266D}">
  <dimension ref="A1:H50"/>
  <sheetViews>
    <sheetView workbookViewId="0">
      <selection activeCell="N9" sqref="N9"/>
    </sheetView>
  </sheetViews>
  <sheetFormatPr baseColWidth="10" defaultRowHeight="16"/>
  <sheetData>
    <row r="1" spans="1:8" ht="34">
      <c r="A1" s="27" t="s">
        <v>100</v>
      </c>
      <c r="B1" s="250" t="s">
        <v>101</v>
      </c>
      <c r="C1" s="250"/>
      <c r="D1" s="250"/>
      <c r="E1" s="250"/>
      <c r="F1" s="250"/>
      <c r="G1" s="250"/>
      <c r="H1" s="250"/>
    </row>
    <row r="2" spans="1:8">
      <c r="A2" s="28"/>
      <c r="B2" s="251" t="s">
        <v>102</v>
      </c>
      <c r="C2" s="251"/>
      <c r="D2" s="251"/>
      <c r="E2" s="251"/>
      <c r="F2" s="251"/>
      <c r="G2" s="251"/>
      <c r="H2" s="251"/>
    </row>
    <row r="3" spans="1:8">
      <c r="A3" s="28"/>
      <c r="B3" s="251"/>
      <c r="C3" s="251"/>
      <c r="D3" s="251"/>
      <c r="E3" s="251"/>
      <c r="F3" s="251"/>
      <c r="G3" s="251"/>
      <c r="H3" s="251"/>
    </row>
    <row r="4" spans="1:8" ht="42">
      <c r="A4" s="29" t="s">
        <v>103</v>
      </c>
      <c r="B4" s="252" t="s">
        <v>104</v>
      </c>
      <c r="C4" s="252"/>
      <c r="D4" s="29" t="s">
        <v>4</v>
      </c>
      <c r="E4" s="29" t="s">
        <v>105</v>
      </c>
      <c r="F4" s="29" t="s">
        <v>6</v>
      </c>
      <c r="G4" s="29" t="s">
        <v>106</v>
      </c>
      <c r="H4" s="29" t="s">
        <v>8</v>
      </c>
    </row>
    <row r="5" spans="1:8">
      <c r="A5" s="28"/>
      <c r="B5" s="249" t="s">
        <v>9</v>
      </c>
      <c r="C5" s="249"/>
      <c r="D5" s="31"/>
      <c r="E5" s="31"/>
      <c r="F5" s="31"/>
      <c r="G5" s="31"/>
      <c r="H5" s="31"/>
    </row>
    <row r="6" spans="1:8">
      <c r="A6" s="28"/>
      <c r="B6" s="249" t="s">
        <v>93</v>
      </c>
      <c r="C6" s="249"/>
      <c r="D6" s="30"/>
      <c r="E6" s="30"/>
      <c r="F6" s="31"/>
      <c r="G6" s="31"/>
      <c r="H6" s="31"/>
    </row>
    <row r="7" spans="1:8" ht="26">
      <c r="A7" s="32">
        <v>1</v>
      </c>
      <c r="B7" s="253" t="s">
        <v>21</v>
      </c>
      <c r="C7" s="253"/>
      <c r="D7" s="31" t="s">
        <v>22</v>
      </c>
      <c r="E7" s="31" t="s">
        <v>23</v>
      </c>
      <c r="F7" s="33">
        <v>30260673</v>
      </c>
      <c r="G7" s="34">
        <v>82793.2</v>
      </c>
      <c r="H7" s="35">
        <v>5.6701254774138982E-2</v>
      </c>
    </row>
    <row r="8" spans="1:8" ht="26">
      <c r="A8" s="32">
        <v>2</v>
      </c>
      <c r="B8" s="253" t="s">
        <v>51</v>
      </c>
      <c r="C8" s="253"/>
      <c r="D8" s="31" t="s">
        <v>52</v>
      </c>
      <c r="E8" s="31" t="s">
        <v>53</v>
      </c>
      <c r="F8" s="33">
        <v>3065908</v>
      </c>
      <c r="G8" s="34">
        <v>77506.149999999994</v>
      </c>
      <c r="H8" s="35">
        <v>5.3080399448688802E-2</v>
      </c>
    </row>
    <row r="9" spans="1:8" ht="26">
      <c r="A9" s="32">
        <v>3</v>
      </c>
      <c r="B9" s="253" t="s">
        <v>107</v>
      </c>
      <c r="C9" s="253"/>
      <c r="D9" s="31" t="s">
        <v>108</v>
      </c>
      <c r="E9" s="31" t="s">
        <v>68</v>
      </c>
      <c r="F9" s="33">
        <v>15420591</v>
      </c>
      <c r="G9" s="34">
        <v>69238.45</v>
      </c>
      <c r="H9" s="35">
        <v>4.7418231620502363E-2</v>
      </c>
    </row>
    <row r="10" spans="1:8" ht="26">
      <c r="A10" s="32">
        <v>4</v>
      </c>
      <c r="B10" s="253" t="s">
        <v>75</v>
      </c>
      <c r="C10" s="253"/>
      <c r="D10" s="31" t="s">
        <v>76</v>
      </c>
      <c r="E10" s="31" t="s">
        <v>53</v>
      </c>
      <c r="F10" s="33">
        <v>38616966</v>
      </c>
      <c r="G10" s="34">
        <v>68367.48</v>
      </c>
      <c r="H10" s="35">
        <v>4.6821739552828048E-2</v>
      </c>
    </row>
    <row r="11" spans="1:8" ht="26">
      <c r="A11" s="32">
        <v>5</v>
      </c>
      <c r="B11" s="253" t="s">
        <v>109</v>
      </c>
      <c r="C11" s="253"/>
      <c r="D11" s="31" t="s">
        <v>110</v>
      </c>
      <c r="E11" s="31" t="s">
        <v>111</v>
      </c>
      <c r="F11" s="33">
        <v>1772270</v>
      </c>
      <c r="G11" s="34">
        <v>67870.850000000006</v>
      </c>
      <c r="H11" s="35">
        <v>4.6481624151816607E-2</v>
      </c>
    </row>
    <row r="12" spans="1:8" ht="26">
      <c r="A12" s="32">
        <v>6</v>
      </c>
      <c r="B12" s="253" t="s">
        <v>112</v>
      </c>
      <c r="C12" s="253"/>
      <c r="D12" s="31" t="s">
        <v>113</v>
      </c>
      <c r="E12" s="31" t="s">
        <v>114</v>
      </c>
      <c r="F12" s="33">
        <v>354435</v>
      </c>
      <c r="G12" s="34">
        <v>64003.87</v>
      </c>
      <c r="H12" s="35">
        <v>4.3833307706467733E-2</v>
      </c>
    </row>
    <row r="13" spans="1:8" ht="39">
      <c r="A13" s="32">
        <v>7</v>
      </c>
      <c r="B13" s="253" t="s">
        <v>56</v>
      </c>
      <c r="C13" s="253"/>
      <c r="D13" s="31" t="s">
        <v>57</v>
      </c>
      <c r="E13" s="31" t="s">
        <v>48</v>
      </c>
      <c r="F13" s="33">
        <v>5066259</v>
      </c>
      <c r="G13" s="34">
        <v>57628.7</v>
      </c>
      <c r="H13" s="35">
        <v>3.9467242827582003E-2</v>
      </c>
    </row>
    <row r="14" spans="1:8" ht="26">
      <c r="A14" s="32">
        <v>8</v>
      </c>
      <c r="B14" s="253" t="s">
        <v>115</v>
      </c>
      <c r="C14" s="253"/>
      <c r="D14" s="31" t="s">
        <v>116</v>
      </c>
      <c r="E14" s="31" t="s">
        <v>117</v>
      </c>
      <c r="F14" s="33">
        <v>2062978</v>
      </c>
      <c r="G14" s="34">
        <v>57505.51</v>
      </c>
      <c r="H14" s="35">
        <v>3.9382879516113987E-2</v>
      </c>
    </row>
    <row r="15" spans="1:8" ht="26">
      <c r="A15" s="32">
        <v>9</v>
      </c>
      <c r="B15" s="253" t="s">
        <v>118</v>
      </c>
      <c r="C15" s="253"/>
      <c r="D15" s="31" t="s">
        <v>119</v>
      </c>
      <c r="E15" s="31" t="s">
        <v>120</v>
      </c>
      <c r="F15" s="33">
        <v>1440025</v>
      </c>
      <c r="G15" s="34">
        <v>52955.48</v>
      </c>
      <c r="H15" s="35">
        <v>3.6266771644878237E-2</v>
      </c>
    </row>
    <row r="16" spans="1:8" ht="26">
      <c r="A16" s="32">
        <v>10</v>
      </c>
      <c r="B16" s="253" t="s">
        <v>121</v>
      </c>
      <c r="C16" s="253"/>
      <c r="D16" s="31" t="s">
        <v>122</v>
      </c>
      <c r="E16" s="31" t="s">
        <v>117</v>
      </c>
      <c r="F16" s="33">
        <v>657535</v>
      </c>
      <c r="G16" s="34">
        <v>52563.35</v>
      </c>
      <c r="H16" s="35">
        <v>3.5998218854374132E-2</v>
      </c>
    </row>
    <row r="17" spans="1:8" ht="26">
      <c r="A17" s="32">
        <v>11</v>
      </c>
      <c r="B17" s="253" t="s">
        <v>123</v>
      </c>
      <c r="C17" s="253"/>
      <c r="D17" s="31" t="s">
        <v>124</v>
      </c>
      <c r="E17" s="31" t="s">
        <v>111</v>
      </c>
      <c r="F17" s="33">
        <v>4840718</v>
      </c>
      <c r="G17" s="34">
        <v>49375.32</v>
      </c>
      <c r="H17" s="35">
        <v>3.3814887673057528E-2</v>
      </c>
    </row>
    <row r="18" spans="1:8" ht="39">
      <c r="A18" s="32">
        <v>12</v>
      </c>
      <c r="B18" s="253" t="s">
        <v>46</v>
      </c>
      <c r="C18" s="253"/>
      <c r="D18" s="31" t="s">
        <v>47</v>
      </c>
      <c r="E18" s="31" t="s">
        <v>48</v>
      </c>
      <c r="F18" s="33">
        <v>2847044</v>
      </c>
      <c r="G18" s="34">
        <v>47104.34</v>
      </c>
      <c r="H18" s="35">
        <v>3.2259597520528975E-2</v>
      </c>
    </row>
    <row r="19" spans="1:8" ht="26">
      <c r="A19" s="32">
        <v>13</v>
      </c>
      <c r="B19" s="253" t="s">
        <v>125</v>
      </c>
      <c r="C19" s="253"/>
      <c r="D19" s="31" t="s">
        <v>126</v>
      </c>
      <c r="E19" s="31" t="s">
        <v>127</v>
      </c>
      <c r="F19" s="33">
        <v>3110211</v>
      </c>
      <c r="G19" s="34">
        <v>45455.73</v>
      </c>
      <c r="H19" s="35">
        <v>3.1130540911733551E-2</v>
      </c>
    </row>
    <row r="20" spans="1:8" ht="26">
      <c r="A20" s="32">
        <v>14</v>
      </c>
      <c r="B20" s="253" t="s">
        <v>128</v>
      </c>
      <c r="C20" s="253"/>
      <c r="D20" s="31" t="s">
        <v>129</v>
      </c>
      <c r="E20" s="31" t="s">
        <v>68</v>
      </c>
      <c r="F20" s="33">
        <v>2849266</v>
      </c>
      <c r="G20" s="34">
        <v>43827.41</v>
      </c>
      <c r="H20" s="35">
        <v>3.0015376608708681E-2</v>
      </c>
    </row>
    <row r="21" spans="1:8" ht="26">
      <c r="A21" s="32">
        <v>15</v>
      </c>
      <c r="B21" s="253" t="s">
        <v>130</v>
      </c>
      <c r="C21" s="253"/>
      <c r="D21" s="31" t="s">
        <v>131</v>
      </c>
      <c r="E21" s="31" t="s">
        <v>117</v>
      </c>
      <c r="F21" s="33">
        <v>7348442</v>
      </c>
      <c r="G21" s="34">
        <v>42918.58</v>
      </c>
      <c r="H21" s="35">
        <v>2.9392957936056011E-2</v>
      </c>
    </row>
    <row r="22" spans="1:8" ht="26">
      <c r="A22" s="32">
        <v>16</v>
      </c>
      <c r="B22" s="253" t="s">
        <v>132</v>
      </c>
      <c r="C22" s="253"/>
      <c r="D22" s="31" t="s">
        <v>133</v>
      </c>
      <c r="E22" s="31" t="s">
        <v>111</v>
      </c>
      <c r="F22" s="33">
        <v>4589813</v>
      </c>
      <c r="G22" s="34">
        <v>42678.38</v>
      </c>
      <c r="H22" s="35">
        <v>2.9228456471566321E-2</v>
      </c>
    </row>
    <row r="23" spans="1:8" ht="26">
      <c r="A23" s="32">
        <v>17</v>
      </c>
      <c r="B23" s="253" t="s">
        <v>134</v>
      </c>
      <c r="C23" s="253"/>
      <c r="D23" s="31" t="s">
        <v>135</v>
      </c>
      <c r="E23" s="31" t="s">
        <v>136</v>
      </c>
      <c r="F23" s="33">
        <v>35776383</v>
      </c>
      <c r="G23" s="34">
        <v>40391.54</v>
      </c>
      <c r="H23" s="35">
        <v>2.7662305114389541E-2</v>
      </c>
    </row>
    <row r="24" spans="1:8" ht="26">
      <c r="A24" s="32">
        <v>18</v>
      </c>
      <c r="B24" s="253" t="s">
        <v>137</v>
      </c>
      <c r="C24" s="253"/>
      <c r="D24" s="31" t="s">
        <v>138</v>
      </c>
      <c r="E24" s="31" t="s">
        <v>83</v>
      </c>
      <c r="F24" s="33">
        <v>699884</v>
      </c>
      <c r="G24" s="34">
        <v>40005.370000000003</v>
      </c>
      <c r="H24" s="35">
        <v>2.7397837123902279E-2</v>
      </c>
    </row>
    <row r="25" spans="1:8" ht="39">
      <c r="A25" s="32">
        <v>19</v>
      </c>
      <c r="B25" s="253" t="s">
        <v>139</v>
      </c>
      <c r="C25" s="253"/>
      <c r="D25" s="31" t="s">
        <v>140</v>
      </c>
      <c r="E25" s="31" t="s">
        <v>141</v>
      </c>
      <c r="F25" s="33">
        <v>1250065</v>
      </c>
      <c r="G25" s="34">
        <v>38170.730000000003</v>
      </c>
      <c r="H25" s="35">
        <v>2.6141380242309858E-2</v>
      </c>
    </row>
    <row r="26" spans="1:8" ht="26">
      <c r="A26" s="32">
        <v>20</v>
      </c>
      <c r="B26" s="253" t="s">
        <v>142</v>
      </c>
      <c r="C26" s="253"/>
      <c r="D26" s="31" t="s">
        <v>143</v>
      </c>
      <c r="E26" s="31" t="s">
        <v>68</v>
      </c>
      <c r="F26" s="33">
        <v>800044</v>
      </c>
      <c r="G26" s="34">
        <v>36957.230000000003</v>
      </c>
      <c r="H26" s="35">
        <v>2.5310308384731414E-2</v>
      </c>
    </row>
    <row r="27" spans="1:8" ht="39">
      <c r="A27" s="32">
        <v>21</v>
      </c>
      <c r="B27" s="253" t="s">
        <v>144</v>
      </c>
      <c r="C27" s="253"/>
      <c r="D27" s="31" t="s">
        <v>145</v>
      </c>
      <c r="E27" s="31" t="s">
        <v>146</v>
      </c>
      <c r="F27" s="33">
        <v>2996379</v>
      </c>
      <c r="G27" s="34">
        <v>35791.75</v>
      </c>
      <c r="H27" s="35">
        <v>2.4512121064231389E-2</v>
      </c>
    </row>
    <row r="28" spans="1:8" ht="26">
      <c r="A28" s="32">
        <v>22</v>
      </c>
      <c r="B28" s="253" t="s">
        <v>147</v>
      </c>
      <c r="C28" s="253"/>
      <c r="D28" s="31" t="s">
        <v>148</v>
      </c>
      <c r="E28" s="31" t="s">
        <v>117</v>
      </c>
      <c r="F28" s="33">
        <v>4871934</v>
      </c>
      <c r="G28" s="34">
        <v>35073.050000000003</v>
      </c>
      <c r="H28" s="35">
        <v>2.4019920408481096E-2</v>
      </c>
    </row>
    <row r="29" spans="1:8" ht="26">
      <c r="A29" s="32">
        <v>23</v>
      </c>
      <c r="B29" s="253" t="s">
        <v>149</v>
      </c>
      <c r="C29" s="253"/>
      <c r="D29" s="31" t="s">
        <v>150</v>
      </c>
      <c r="E29" s="31" t="s">
        <v>68</v>
      </c>
      <c r="F29" s="33">
        <v>2452210</v>
      </c>
      <c r="G29" s="34">
        <v>34713.480000000003</v>
      </c>
      <c r="H29" s="35">
        <v>2.3773668754239703E-2</v>
      </c>
    </row>
    <row r="30" spans="1:8" ht="26">
      <c r="A30" s="32">
        <v>24</v>
      </c>
      <c r="B30" s="253" t="s">
        <v>151</v>
      </c>
      <c r="C30" s="253"/>
      <c r="D30" s="31" t="s">
        <v>152</v>
      </c>
      <c r="E30" s="31" t="s">
        <v>117</v>
      </c>
      <c r="F30" s="33">
        <v>72507951</v>
      </c>
      <c r="G30" s="34">
        <v>34564.54</v>
      </c>
      <c r="H30" s="35">
        <v>2.3671663505694211E-2</v>
      </c>
    </row>
    <row r="31" spans="1:8" ht="26">
      <c r="A31" s="32">
        <v>25</v>
      </c>
      <c r="B31" s="253" t="s">
        <v>153</v>
      </c>
      <c r="C31" s="253"/>
      <c r="D31" s="31" t="s">
        <v>154</v>
      </c>
      <c r="E31" s="31" t="s">
        <v>111</v>
      </c>
      <c r="F31" s="33">
        <v>2112845</v>
      </c>
      <c r="G31" s="34">
        <v>34473.18</v>
      </c>
      <c r="H31" s="35">
        <v>2.3609094407930183E-2</v>
      </c>
    </row>
    <row r="32" spans="1:8" ht="26">
      <c r="A32" s="32">
        <v>26</v>
      </c>
      <c r="B32" s="253" t="s">
        <v>155</v>
      </c>
      <c r="C32" s="253"/>
      <c r="D32" s="31" t="s">
        <v>156</v>
      </c>
      <c r="E32" s="31" t="s">
        <v>120</v>
      </c>
      <c r="F32" s="33">
        <v>105217134</v>
      </c>
      <c r="G32" s="34">
        <v>34016.699999999997</v>
      </c>
      <c r="H32" s="35">
        <v>2.3296472531267699E-2</v>
      </c>
    </row>
    <row r="33" spans="1:8" ht="26">
      <c r="A33" s="32">
        <v>27</v>
      </c>
      <c r="B33" s="253" t="s">
        <v>157</v>
      </c>
      <c r="C33" s="253"/>
      <c r="D33" s="31" t="s">
        <v>158</v>
      </c>
      <c r="E33" s="31" t="s">
        <v>120</v>
      </c>
      <c r="F33" s="33">
        <v>5405798</v>
      </c>
      <c r="G33" s="34">
        <v>33583.519999999997</v>
      </c>
      <c r="H33" s="35">
        <v>2.2999807924337277E-2</v>
      </c>
    </row>
    <row r="34" spans="1:8" ht="26">
      <c r="A34" s="32">
        <v>28</v>
      </c>
      <c r="B34" s="253" t="s">
        <v>159</v>
      </c>
      <c r="C34" s="253"/>
      <c r="D34" s="31" t="s">
        <v>160</v>
      </c>
      <c r="E34" s="31" t="s">
        <v>23</v>
      </c>
      <c r="F34" s="33">
        <v>1474067</v>
      </c>
      <c r="G34" s="34">
        <v>29416.48</v>
      </c>
      <c r="H34" s="35">
        <v>2.0145994597795508E-2</v>
      </c>
    </row>
    <row r="35" spans="1:8" ht="26">
      <c r="A35" s="32">
        <v>29</v>
      </c>
      <c r="B35" s="253" t="s">
        <v>161</v>
      </c>
      <c r="C35" s="253"/>
      <c r="D35" s="31" t="s">
        <v>74</v>
      </c>
      <c r="E35" s="31" t="s">
        <v>53</v>
      </c>
      <c r="F35" s="33">
        <v>1126709</v>
      </c>
      <c r="G35" s="34">
        <v>28628.55</v>
      </c>
      <c r="H35" s="35">
        <v>1.9606376170365807E-2</v>
      </c>
    </row>
    <row r="36" spans="1:8" ht="26">
      <c r="A36" s="32">
        <v>30</v>
      </c>
      <c r="B36" s="253" t="s">
        <v>162</v>
      </c>
      <c r="C36" s="253"/>
      <c r="D36" s="31" t="s">
        <v>163</v>
      </c>
      <c r="E36" s="31" t="s">
        <v>117</v>
      </c>
      <c r="F36" s="33">
        <v>738872</v>
      </c>
      <c r="G36" s="34">
        <v>23867.78</v>
      </c>
      <c r="H36" s="35">
        <v>1.6345946027157582E-2</v>
      </c>
    </row>
    <row r="37" spans="1:8" ht="26">
      <c r="A37" s="32">
        <v>31</v>
      </c>
      <c r="B37" s="253" t="s">
        <v>164</v>
      </c>
      <c r="C37" s="253"/>
      <c r="D37" s="31" t="s">
        <v>165</v>
      </c>
      <c r="E37" s="31" t="s">
        <v>111</v>
      </c>
      <c r="F37" s="33">
        <v>9900000</v>
      </c>
      <c r="G37" s="34">
        <v>23574.87</v>
      </c>
      <c r="H37" s="35">
        <v>1.6145343925542063E-2</v>
      </c>
    </row>
    <row r="38" spans="1:8" ht="26">
      <c r="A38" s="32">
        <v>32</v>
      </c>
      <c r="B38" s="253" t="s">
        <v>166</v>
      </c>
      <c r="C38" s="253"/>
      <c r="D38" s="31" t="s">
        <v>167</v>
      </c>
      <c r="E38" s="31" t="s">
        <v>168</v>
      </c>
      <c r="F38" s="33">
        <v>1832272</v>
      </c>
      <c r="G38" s="34">
        <v>16418.990000000002</v>
      </c>
      <c r="H38" s="35">
        <v>1.1244610495992843E-2</v>
      </c>
    </row>
    <row r="39" spans="1:8" ht="26">
      <c r="A39" s="32">
        <v>33</v>
      </c>
      <c r="B39" s="253" t="s">
        <v>169</v>
      </c>
      <c r="C39" s="253"/>
      <c r="D39" s="31" t="s">
        <v>170</v>
      </c>
      <c r="E39" s="31" t="s">
        <v>168</v>
      </c>
      <c r="F39" s="33">
        <v>3450777</v>
      </c>
      <c r="G39" s="34">
        <v>2884.16</v>
      </c>
      <c r="H39" s="35">
        <v>1.9752281016649402E-3</v>
      </c>
    </row>
    <row r="40" spans="1:8" ht="26">
      <c r="A40" s="32">
        <v>34</v>
      </c>
      <c r="B40" s="253" t="s">
        <v>171</v>
      </c>
      <c r="C40" s="253"/>
      <c r="D40" s="31" t="s">
        <v>172</v>
      </c>
      <c r="E40" s="31" t="s">
        <v>111</v>
      </c>
      <c r="F40" s="33">
        <v>406838</v>
      </c>
      <c r="G40" s="34">
        <v>1382.44</v>
      </c>
      <c r="H40" s="35">
        <v>9.4676649287427496E-4</v>
      </c>
    </row>
    <row r="41" spans="1:8">
      <c r="A41" s="28"/>
      <c r="B41" s="254" t="s">
        <v>91</v>
      </c>
      <c r="C41" s="254"/>
      <c r="D41" s="36"/>
      <c r="E41" s="36"/>
      <c r="F41" s="36"/>
      <c r="G41" s="37">
        <v>1445707.16</v>
      </c>
      <c r="H41" s="38">
        <v>0.99009833249194967</v>
      </c>
    </row>
    <row r="42" spans="1:8">
      <c r="A42" s="28"/>
      <c r="B42" s="249" t="s">
        <v>173</v>
      </c>
      <c r="C42" s="249"/>
      <c r="D42" s="31"/>
      <c r="E42" s="31"/>
      <c r="F42" s="39"/>
      <c r="G42" s="39"/>
      <c r="H42" s="39"/>
    </row>
    <row r="43" spans="1:8">
      <c r="A43" s="28"/>
      <c r="B43" s="254" t="s">
        <v>91</v>
      </c>
      <c r="C43" s="254"/>
      <c r="D43" s="36"/>
      <c r="E43" s="36"/>
      <c r="F43" s="40"/>
      <c r="G43" s="40"/>
      <c r="H43" s="40"/>
    </row>
    <row r="44" spans="1:8">
      <c r="A44" s="28"/>
      <c r="B44" s="249" t="s">
        <v>174</v>
      </c>
      <c r="C44" s="249"/>
      <c r="D44" s="31"/>
      <c r="E44" s="31"/>
      <c r="F44" s="31"/>
      <c r="G44" s="31"/>
      <c r="H44" s="31"/>
    </row>
    <row r="45" spans="1:8">
      <c r="A45" s="28"/>
      <c r="B45" s="249" t="s">
        <v>175</v>
      </c>
      <c r="C45" s="249"/>
      <c r="D45" s="30"/>
      <c r="E45" s="30"/>
      <c r="F45" s="31"/>
      <c r="G45" s="31"/>
      <c r="H45" s="31"/>
    </row>
    <row r="46" spans="1:8">
      <c r="A46" s="32">
        <v>1</v>
      </c>
      <c r="B46" s="253" t="s">
        <v>176</v>
      </c>
      <c r="C46" s="253"/>
      <c r="D46" s="31"/>
      <c r="E46" s="31"/>
      <c r="F46" s="33">
        <v>14332000</v>
      </c>
      <c r="G46" s="34">
        <v>14330.12</v>
      </c>
      <c r="H46" s="35">
        <v>9.8140371973641279E-3</v>
      </c>
    </row>
    <row r="47" spans="1:8">
      <c r="A47" s="28"/>
      <c r="B47" s="254" t="s">
        <v>91</v>
      </c>
      <c r="C47" s="254"/>
      <c r="D47" s="36"/>
      <c r="E47" s="36"/>
      <c r="F47" s="36"/>
      <c r="G47" s="37">
        <v>14330.12</v>
      </c>
      <c r="H47" s="38">
        <v>9.8140371973641279E-3</v>
      </c>
    </row>
    <row r="48" spans="1:8">
      <c r="A48" s="28"/>
      <c r="B48" s="249" t="s">
        <v>177</v>
      </c>
      <c r="C48" s="249"/>
      <c r="D48" s="31"/>
      <c r="E48" s="31"/>
      <c r="F48" s="31"/>
      <c r="G48" s="31"/>
      <c r="H48" s="31"/>
    </row>
    <row r="49" spans="1:8">
      <c r="A49" s="28"/>
      <c r="B49" s="249" t="s">
        <v>178</v>
      </c>
      <c r="C49" s="249"/>
      <c r="D49" s="31"/>
      <c r="E49" s="31"/>
      <c r="F49" s="31"/>
      <c r="G49" s="41">
        <v>127.96</v>
      </c>
      <c r="H49" s="42">
        <v>8.7630310686236964E-5</v>
      </c>
    </row>
    <row r="50" spans="1:8">
      <c r="A50" s="28"/>
      <c r="B50" s="255" t="s">
        <v>179</v>
      </c>
      <c r="C50" s="255"/>
      <c r="D50" s="43"/>
      <c r="E50" s="43"/>
      <c r="F50" s="43"/>
      <c r="G50" s="44">
        <v>1460165.24</v>
      </c>
      <c r="H50" s="45">
        <v>1</v>
      </c>
    </row>
  </sheetData>
  <mergeCells count="50">
    <mergeCell ref="B49:C49"/>
    <mergeCell ref="B50:C50"/>
    <mergeCell ref="B43:C43"/>
    <mergeCell ref="B44:C44"/>
    <mergeCell ref="B45:C45"/>
    <mergeCell ref="B46:C46"/>
    <mergeCell ref="B47:C47"/>
    <mergeCell ref="B48:C48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H1"/>
    <mergeCell ref="B2:H2"/>
    <mergeCell ref="B3:H3"/>
    <mergeCell ref="B4:C4"/>
    <mergeCell ref="B5:C5"/>
  </mergeCells>
  <hyperlinks>
    <hyperlink ref="A1" location="Index!A1" display="Back to Index" xr:uid="{A0F8D2F3-3C42-2741-BBCA-64E3090D6B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4C95-7078-6E41-92D0-AA13481C70A8}">
  <dimension ref="A1:I200"/>
  <sheetViews>
    <sheetView tabSelected="1" workbookViewId="0">
      <selection activeCell="B1" sqref="B1"/>
    </sheetView>
  </sheetViews>
  <sheetFormatPr baseColWidth="10" defaultRowHeight="16"/>
  <sheetData>
    <row r="1" spans="1:9" ht="18">
      <c r="A1" s="57"/>
      <c r="B1" s="272" t="s">
        <v>1735</v>
      </c>
      <c r="C1" s="57"/>
      <c r="D1" s="57"/>
      <c r="E1" s="57"/>
      <c r="F1" s="57"/>
      <c r="G1" s="57"/>
      <c r="H1" s="57"/>
      <c r="I1" s="57"/>
    </row>
    <row r="2" spans="1:9">
      <c r="A2" s="57"/>
      <c r="B2" s="58"/>
      <c r="C2" s="57"/>
      <c r="D2" s="57"/>
      <c r="E2" s="57"/>
      <c r="F2" s="57"/>
      <c r="G2" s="57"/>
      <c r="H2" s="57"/>
      <c r="I2" s="57"/>
    </row>
    <row r="3" spans="1:9" ht="65">
      <c r="A3" s="59" t="s">
        <v>198</v>
      </c>
      <c r="B3" s="60" t="s">
        <v>199</v>
      </c>
      <c r="C3" s="57"/>
      <c r="D3" s="57"/>
      <c r="E3" s="57"/>
      <c r="F3" s="57"/>
      <c r="G3" s="57"/>
      <c r="H3" s="57"/>
      <c r="I3" s="57"/>
    </row>
    <row r="4" spans="1:9" ht="52">
      <c r="A4" s="57"/>
      <c r="B4" s="61" t="s">
        <v>3</v>
      </c>
      <c r="C4" s="62" t="s">
        <v>4</v>
      </c>
      <c r="D4" s="63" t="s">
        <v>200</v>
      </c>
      <c r="E4" s="63" t="s">
        <v>6</v>
      </c>
      <c r="F4" s="63" t="s">
        <v>201</v>
      </c>
      <c r="G4" s="63" t="s">
        <v>202</v>
      </c>
      <c r="H4" s="63" t="s">
        <v>203</v>
      </c>
      <c r="I4" s="63" t="s">
        <v>204</v>
      </c>
    </row>
    <row r="5" spans="1:9" ht="39">
      <c r="A5" s="57"/>
      <c r="B5" s="64" t="s">
        <v>9</v>
      </c>
      <c r="C5" s="65"/>
      <c r="D5" s="65"/>
      <c r="E5" s="65"/>
      <c r="F5" s="65"/>
      <c r="G5" s="65"/>
      <c r="H5" s="66"/>
      <c r="I5" s="66"/>
    </row>
    <row r="6" spans="1:9" ht="65">
      <c r="A6" s="57"/>
      <c r="B6" s="64" t="s">
        <v>93</v>
      </c>
      <c r="C6" s="65"/>
      <c r="D6" s="65"/>
      <c r="E6" s="65"/>
      <c r="F6" s="57"/>
      <c r="G6" s="66"/>
      <c r="H6" s="66"/>
      <c r="I6" s="66"/>
    </row>
    <row r="7" spans="1:9" ht="26">
      <c r="A7" s="67" t="s">
        <v>205</v>
      </c>
      <c r="B7" s="68" t="s">
        <v>206</v>
      </c>
      <c r="C7" s="65" t="s">
        <v>207</v>
      </c>
      <c r="D7" s="65" t="s">
        <v>168</v>
      </c>
      <c r="E7" s="69">
        <v>115915576</v>
      </c>
      <c r="F7" s="70">
        <v>1077145.49</v>
      </c>
      <c r="G7" s="71">
        <v>8.0399999999999999E-2</v>
      </c>
      <c r="H7" s="66"/>
      <c r="I7" s="66"/>
    </row>
    <row r="8" spans="1:9" ht="39">
      <c r="A8" s="67" t="s">
        <v>208</v>
      </c>
      <c r="B8" s="68" t="s">
        <v>209</v>
      </c>
      <c r="C8" s="65" t="s">
        <v>210</v>
      </c>
      <c r="D8" s="65" t="s">
        <v>211</v>
      </c>
      <c r="E8" s="69">
        <v>313365617</v>
      </c>
      <c r="F8" s="70">
        <v>803782.81</v>
      </c>
      <c r="G8" s="71">
        <v>0.06</v>
      </c>
      <c r="H8" s="66"/>
      <c r="I8" s="66"/>
    </row>
    <row r="9" spans="1:9" ht="26">
      <c r="A9" s="67" t="s">
        <v>212</v>
      </c>
      <c r="B9" s="68" t="s">
        <v>213</v>
      </c>
      <c r="C9" s="65" t="s">
        <v>214</v>
      </c>
      <c r="D9" s="65" t="s">
        <v>215</v>
      </c>
      <c r="E9" s="69">
        <v>159832308</v>
      </c>
      <c r="F9" s="70">
        <v>704460.9</v>
      </c>
      <c r="G9" s="71">
        <v>5.2600000000000001E-2</v>
      </c>
      <c r="H9" s="66"/>
      <c r="I9" s="66"/>
    </row>
    <row r="10" spans="1:9" ht="26">
      <c r="A10" s="67" t="s">
        <v>216</v>
      </c>
      <c r="B10" s="68" t="s">
        <v>217</v>
      </c>
      <c r="C10" s="65" t="s">
        <v>218</v>
      </c>
      <c r="D10" s="65" t="s">
        <v>219</v>
      </c>
      <c r="E10" s="69">
        <v>209900994</v>
      </c>
      <c r="F10" s="70">
        <v>676196.05</v>
      </c>
      <c r="G10" s="71">
        <v>5.0500000000000003E-2</v>
      </c>
      <c r="H10" s="66"/>
      <c r="I10" s="66"/>
    </row>
    <row r="11" spans="1:9" ht="26">
      <c r="A11" s="67" t="s">
        <v>220</v>
      </c>
      <c r="B11" s="68" t="s">
        <v>221</v>
      </c>
      <c r="C11" s="65" t="s">
        <v>222</v>
      </c>
      <c r="D11" s="65" t="s">
        <v>168</v>
      </c>
      <c r="E11" s="69">
        <v>49325234</v>
      </c>
      <c r="F11" s="70">
        <v>668356.92000000004</v>
      </c>
      <c r="G11" s="71">
        <v>4.99E-2</v>
      </c>
      <c r="H11" s="66"/>
      <c r="I11" s="66"/>
    </row>
    <row r="12" spans="1:9" ht="39">
      <c r="A12" s="67" t="s">
        <v>223</v>
      </c>
      <c r="B12" s="68" t="s">
        <v>224</v>
      </c>
      <c r="C12" s="65" t="s">
        <v>225</v>
      </c>
      <c r="D12" s="65" t="s">
        <v>111</v>
      </c>
      <c r="E12" s="69">
        <v>5979253</v>
      </c>
      <c r="F12" s="70">
        <v>645759.31999999995</v>
      </c>
      <c r="G12" s="71">
        <v>4.82E-2</v>
      </c>
      <c r="H12" s="66"/>
      <c r="I12" s="66"/>
    </row>
    <row r="13" spans="1:9" ht="39">
      <c r="A13" s="67" t="s">
        <v>226</v>
      </c>
      <c r="B13" s="68" t="s">
        <v>227</v>
      </c>
      <c r="C13" s="65" t="s">
        <v>228</v>
      </c>
      <c r="D13" s="65" t="s">
        <v>168</v>
      </c>
      <c r="E13" s="69">
        <v>123107960</v>
      </c>
      <c r="F13" s="70">
        <v>502280.48</v>
      </c>
      <c r="G13" s="71">
        <v>3.7499999999999999E-2</v>
      </c>
      <c r="H13" s="66"/>
      <c r="I13" s="66"/>
    </row>
    <row r="14" spans="1:9" ht="39">
      <c r="A14" s="67" t="s">
        <v>229</v>
      </c>
      <c r="B14" s="68" t="s">
        <v>230</v>
      </c>
      <c r="C14" s="65" t="s">
        <v>231</v>
      </c>
      <c r="D14" s="65" t="s">
        <v>120</v>
      </c>
      <c r="E14" s="69">
        <v>13974725</v>
      </c>
      <c r="F14" s="70">
        <v>479584.61</v>
      </c>
      <c r="G14" s="71">
        <v>3.5799999999999998E-2</v>
      </c>
      <c r="H14" s="66"/>
      <c r="I14" s="66"/>
    </row>
    <row r="15" spans="1:9" ht="26">
      <c r="A15" s="67" t="s">
        <v>232</v>
      </c>
      <c r="B15" s="68" t="s">
        <v>233</v>
      </c>
      <c r="C15" s="65" t="s">
        <v>234</v>
      </c>
      <c r="D15" s="65" t="s">
        <v>168</v>
      </c>
      <c r="E15" s="69">
        <v>33244875</v>
      </c>
      <c r="F15" s="70">
        <v>455587.77</v>
      </c>
      <c r="G15" s="71">
        <v>3.4000000000000002E-2</v>
      </c>
      <c r="H15" s="66"/>
      <c r="I15" s="66"/>
    </row>
    <row r="16" spans="1:9" ht="26">
      <c r="A16" s="67"/>
      <c r="B16" s="68" t="s">
        <v>18</v>
      </c>
      <c r="C16" s="65" t="s">
        <v>19</v>
      </c>
      <c r="D16" s="65" t="s">
        <v>20</v>
      </c>
      <c r="E16" s="69">
        <v>21167034</v>
      </c>
      <c r="F16" s="70">
        <v>416715.39835800003</v>
      </c>
      <c r="G16" s="71">
        <v>3.1105173119860597E-2</v>
      </c>
      <c r="H16" s="66"/>
      <c r="I16" s="66"/>
    </row>
    <row r="17" spans="1:9" ht="26">
      <c r="A17" s="67" t="s">
        <v>235</v>
      </c>
      <c r="B17" s="68" t="s">
        <v>236</v>
      </c>
      <c r="C17" s="65" t="s">
        <v>237</v>
      </c>
      <c r="D17" s="65" t="s">
        <v>120</v>
      </c>
      <c r="E17" s="69">
        <v>2780478</v>
      </c>
      <c r="F17" s="70">
        <v>405921.98</v>
      </c>
      <c r="G17" s="71">
        <v>3.0300000000000001E-2</v>
      </c>
      <c r="H17" s="66"/>
      <c r="I17" s="66"/>
    </row>
    <row r="18" spans="1:9" ht="39">
      <c r="A18" s="67" t="s">
        <v>238</v>
      </c>
      <c r="B18" s="68" t="s">
        <v>32</v>
      </c>
      <c r="C18" s="65" t="s">
        <v>33</v>
      </c>
      <c r="D18" s="65" t="s">
        <v>13</v>
      </c>
      <c r="E18" s="69">
        <v>23460156</v>
      </c>
      <c r="F18" s="70">
        <v>397790.41</v>
      </c>
      <c r="G18" s="71">
        <v>2.9700000000000001E-2</v>
      </c>
      <c r="H18" s="66"/>
      <c r="I18" s="66"/>
    </row>
    <row r="19" spans="1:9" ht="26">
      <c r="A19" s="67" t="s">
        <v>239</v>
      </c>
      <c r="B19" s="68" t="s">
        <v>11</v>
      </c>
      <c r="C19" s="65" t="s">
        <v>12</v>
      </c>
      <c r="D19" s="65" t="s">
        <v>13</v>
      </c>
      <c r="E19" s="69">
        <v>16509541</v>
      </c>
      <c r="F19" s="70">
        <v>270921.57</v>
      </c>
      <c r="G19" s="71">
        <v>2.0199999999999999E-2</v>
      </c>
      <c r="H19" s="66"/>
      <c r="I19" s="66"/>
    </row>
    <row r="20" spans="1:9" ht="52">
      <c r="A20" s="67" t="s">
        <v>240</v>
      </c>
      <c r="B20" s="68" t="s">
        <v>14</v>
      </c>
      <c r="C20" s="65" t="s">
        <v>15</v>
      </c>
      <c r="D20" s="65" t="s">
        <v>13</v>
      </c>
      <c r="E20" s="69">
        <v>8465650</v>
      </c>
      <c r="F20" s="70">
        <v>264458.44</v>
      </c>
      <c r="G20" s="71">
        <v>1.9699999999999999E-2</v>
      </c>
      <c r="H20" s="66"/>
      <c r="I20" s="66"/>
    </row>
    <row r="21" spans="1:9" ht="39">
      <c r="A21" s="67" t="s">
        <v>241</v>
      </c>
      <c r="B21" s="68" t="s">
        <v>242</v>
      </c>
      <c r="C21" s="65" t="s">
        <v>243</v>
      </c>
      <c r="D21" s="65" t="s">
        <v>146</v>
      </c>
      <c r="E21" s="69">
        <v>14083029</v>
      </c>
      <c r="F21" s="70">
        <v>171545.38</v>
      </c>
      <c r="G21" s="71">
        <v>1.2800000000000001E-2</v>
      </c>
      <c r="H21" s="66"/>
      <c r="I21" s="66"/>
    </row>
    <row r="22" spans="1:9" ht="39">
      <c r="A22" s="67" t="s">
        <v>244</v>
      </c>
      <c r="B22" s="68" t="s">
        <v>245</v>
      </c>
      <c r="C22" s="65" t="s">
        <v>246</v>
      </c>
      <c r="D22" s="65" t="s">
        <v>146</v>
      </c>
      <c r="E22" s="69">
        <v>12623339</v>
      </c>
      <c r="F22" s="70">
        <v>167133.01</v>
      </c>
      <c r="G22" s="71">
        <v>1.2500000000000001E-2</v>
      </c>
      <c r="H22" s="66"/>
      <c r="I22" s="66"/>
    </row>
    <row r="23" spans="1:9" ht="39">
      <c r="A23" s="67" t="s">
        <v>247</v>
      </c>
      <c r="B23" s="68" t="s">
        <v>248</v>
      </c>
      <c r="C23" s="65" t="s">
        <v>249</v>
      </c>
      <c r="D23" s="65" t="s">
        <v>146</v>
      </c>
      <c r="E23" s="69">
        <v>18750502</v>
      </c>
      <c r="F23" s="70">
        <v>165998.19</v>
      </c>
      <c r="G23" s="71">
        <v>1.24E-2</v>
      </c>
      <c r="H23" s="66"/>
      <c r="I23" s="66"/>
    </row>
    <row r="24" spans="1:9" ht="39">
      <c r="A24" s="67" t="s">
        <v>250</v>
      </c>
      <c r="B24" s="68" t="s">
        <v>251</v>
      </c>
      <c r="C24" s="65" t="s">
        <v>252</v>
      </c>
      <c r="D24" s="65" t="s">
        <v>53</v>
      </c>
      <c r="E24" s="69">
        <v>80755676</v>
      </c>
      <c r="F24" s="70">
        <v>102390.12</v>
      </c>
      <c r="G24" s="71">
        <v>7.6E-3</v>
      </c>
      <c r="H24" s="66"/>
      <c r="I24" s="66"/>
    </row>
    <row r="25" spans="1:9" ht="39">
      <c r="A25" s="67" t="s">
        <v>253</v>
      </c>
      <c r="B25" s="68" t="s">
        <v>254</v>
      </c>
      <c r="C25" s="65" t="s">
        <v>255</v>
      </c>
      <c r="D25" s="65" t="s">
        <v>256</v>
      </c>
      <c r="E25" s="69">
        <v>22000000</v>
      </c>
      <c r="F25" s="70">
        <v>98626</v>
      </c>
      <c r="G25" s="71">
        <v>7.4000000000000003E-3</v>
      </c>
      <c r="H25" s="66"/>
      <c r="I25" s="66"/>
    </row>
    <row r="26" spans="1:9" ht="39">
      <c r="A26" s="67" t="s">
        <v>257</v>
      </c>
      <c r="B26" s="68" t="s">
        <v>258</v>
      </c>
      <c r="C26" s="65" t="s">
        <v>259</v>
      </c>
      <c r="D26" s="65" t="s">
        <v>136</v>
      </c>
      <c r="E26" s="69">
        <v>4189074</v>
      </c>
      <c r="F26" s="70">
        <v>96591.67</v>
      </c>
      <c r="G26" s="71">
        <v>7.1999999999999998E-3</v>
      </c>
      <c r="H26" s="66"/>
      <c r="I26" s="66"/>
    </row>
    <row r="27" spans="1:9" ht="26">
      <c r="A27" s="67" t="s">
        <v>260</v>
      </c>
      <c r="B27" s="68" t="s">
        <v>261</v>
      </c>
      <c r="C27" s="65" t="s">
        <v>262</v>
      </c>
      <c r="D27" s="65" t="s">
        <v>256</v>
      </c>
      <c r="E27" s="69">
        <v>7362903</v>
      </c>
      <c r="F27" s="70">
        <v>67966.960000000006</v>
      </c>
      <c r="G27" s="71">
        <v>5.1000000000000004E-3</v>
      </c>
      <c r="H27" s="66"/>
      <c r="I27" s="66"/>
    </row>
    <row r="28" spans="1:9" ht="39">
      <c r="A28" s="67" t="s">
        <v>263</v>
      </c>
      <c r="B28" s="68" t="s">
        <v>264</v>
      </c>
      <c r="C28" s="65" t="s">
        <v>265</v>
      </c>
      <c r="D28" s="65" t="s">
        <v>266</v>
      </c>
      <c r="E28" s="69">
        <v>1995914</v>
      </c>
      <c r="F28" s="70">
        <v>35285.760000000002</v>
      </c>
      <c r="G28" s="71">
        <v>2.5999999999999999E-3</v>
      </c>
      <c r="H28" s="66"/>
      <c r="I28" s="66"/>
    </row>
    <row r="29" spans="1:9" ht="52">
      <c r="A29" s="67" t="s">
        <v>267</v>
      </c>
      <c r="B29" s="68" t="s">
        <v>268</v>
      </c>
      <c r="C29" s="65" t="s">
        <v>269</v>
      </c>
      <c r="D29" s="65" t="s">
        <v>53</v>
      </c>
      <c r="E29" s="69">
        <v>2264603</v>
      </c>
      <c r="F29" s="70">
        <v>29897.29</v>
      </c>
      <c r="G29" s="71">
        <v>2.2000000000000001E-3</v>
      </c>
      <c r="H29" s="66"/>
      <c r="I29" s="66"/>
    </row>
    <row r="30" spans="1:9" ht="65">
      <c r="A30" s="67" t="s">
        <v>270</v>
      </c>
      <c r="B30" s="68" t="s">
        <v>271</v>
      </c>
      <c r="C30" s="65" t="s">
        <v>272</v>
      </c>
      <c r="D30" s="65" t="s">
        <v>273</v>
      </c>
      <c r="E30" s="69">
        <v>2205298</v>
      </c>
      <c r="F30" s="70">
        <v>26516.5</v>
      </c>
      <c r="G30" s="71">
        <v>2E-3</v>
      </c>
      <c r="H30" s="66"/>
      <c r="I30" s="66"/>
    </row>
    <row r="31" spans="1:9" ht="52">
      <c r="A31" s="67" t="s">
        <v>274</v>
      </c>
      <c r="B31" s="68" t="s">
        <v>51</v>
      </c>
      <c r="C31" s="65" t="s">
        <v>52</v>
      </c>
      <c r="D31" s="65" t="s">
        <v>53</v>
      </c>
      <c r="E31" s="69">
        <v>795472</v>
      </c>
      <c r="F31" s="70">
        <v>20109.53</v>
      </c>
      <c r="G31" s="71">
        <v>1.5E-3</v>
      </c>
      <c r="H31" s="66"/>
      <c r="I31" s="66"/>
    </row>
    <row r="32" spans="1:9" ht="26">
      <c r="A32" s="67" t="s">
        <v>275</v>
      </c>
      <c r="B32" s="68" t="s">
        <v>276</v>
      </c>
      <c r="C32" s="65" t="s">
        <v>277</v>
      </c>
      <c r="D32" s="65" t="s">
        <v>53</v>
      </c>
      <c r="E32" s="69">
        <v>287393</v>
      </c>
      <c r="F32" s="70">
        <v>18124.439999999999</v>
      </c>
      <c r="G32" s="71">
        <v>1.4E-3</v>
      </c>
      <c r="H32" s="66"/>
      <c r="I32" s="66"/>
    </row>
    <row r="33" spans="1:9" ht="39">
      <c r="A33" s="67" t="s">
        <v>278</v>
      </c>
      <c r="B33" s="68" t="s">
        <v>279</v>
      </c>
      <c r="C33" s="65" t="s">
        <v>280</v>
      </c>
      <c r="D33" s="65" t="s">
        <v>111</v>
      </c>
      <c r="E33" s="69">
        <v>80552</v>
      </c>
      <c r="F33" s="70">
        <v>10825.38</v>
      </c>
      <c r="G33" s="71">
        <v>8.0000000000000004E-4</v>
      </c>
      <c r="H33" s="66"/>
      <c r="I33" s="66"/>
    </row>
    <row r="34" spans="1:9" ht="26">
      <c r="A34" s="67" t="s">
        <v>281</v>
      </c>
      <c r="B34" s="68" t="s">
        <v>282</v>
      </c>
      <c r="C34" s="65" t="s">
        <v>283</v>
      </c>
      <c r="D34" s="65" t="s">
        <v>20</v>
      </c>
      <c r="E34" s="69">
        <v>710855</v>
      </c>
      <c r="F34" s="70">
        <v>3158.33</v>
      </c>
      <c r="G34" s="71">
        <v>2.0000000000000001E-4</v>
      </c>
      <c r="H34" s="66"/>
      <c r="I34" s="66"/>
    </row>
    <row r="35" spans="1:9" ht="39">
      <c r="A35" s="67" t="s">
        <v>284</v>
      </c>
      <c r="B35" s="68" t="s">
        <v>285</v>
      </c>
      <c r="C35" s="65" t="s">
        <v>286</v>
      </c>
      <c r="D35" s="65" t="s">
        <v>136</v>
      </c>
      <c r="E35" s="69">
        <v>462075</v>
      </c>
      <c r="F35" s="70">
        <v>1932.4</v>
      </c>
      <c r="G35" s="71">
        <v>1E-4</v>
      </c>
      <c r="H35" s="66"/>
      <c r="I35" s="66"/>
    </row>
    <row r="36" spans="1:9" ht="39">
      <c r="A36" s="67" t="s">
        <v>287</v>
      </c>
      <c r="B36" s="68" t="s">
        <v>288</v>
      </c>
      <c r="C36" s="65" t="s">
        <v>289</v>
      </c>
      <c r="D36" s="65" t="s">
        <v>39</v>
      </c>
      <c r="E36" s="69">
        <v>151687</v>
      </c>
      <c r="F36" s="70">
        <v>1728.63</v>
      </c>
      <c r="G36" s="71">
        <v>1E-4</v>
      </c>
      <c r="H36" s="66"/>
      <c r="I36" s="66"/>
    </row>
    <row r="37" spans="1:9" ht="39">
      <c r="A37" s="67" t="s">
        <v>290</v>
      </c>
      <c r="B37" s="68" t="s">
        <v>291</v>
      </c>
      <c r="C37" s="65" t="s">
        <v>292</v>
      </c>
      <c r="D37" s="65" t="s">
        <v>114</v>
      </c>
      <c r="E37" s="69">
        <v>47293</v>
      </c>
      <c r="F37" s="70">
        <v>1637.61</v>
      </c>
      <c r="G37" s="71">
        <v>1E-4</v>
      </c>
      <c r="H37" s="66"/>
      <c r="I37" s="66"/>
    </row>
    <row r="38" spans="1:9" ht="39">
      <c r="A38" s="67" t="s">
        <v>293</v>
      </c>
      <c r="B38" s="68" t="s">
        <v>294</v>
      </c>
      <c r="C38" s="65" t="s">
        <v>80</v>
      </c>
      <c r="D38" s="65" t="s">
        <v>39</v>
      </c>
      <c r="E38" s="69">
        <v>199758</v>
      </c>
      <c r="F38" s="70">
        <v>629.94000000000005</v>
      </c>
      <c r="G38" s="71" t="s">
        <v>189</v>
      </c>
      <c r="H38" s="66"/>
      <c r="I38" s="66"/>
    </row>
    <row r="39" spans="1:9">
      <c r="A39" s="57"/>
      <c r="B39" s="30" t="s">
        <v>90</v>
      </c>
      <c r="C39" s="31"/>
      <c r="D39" s="31"/>
      <c r="E39" s="31"/>
      <c r="F39" s="72">
        <f>SUM(F7:F38)</f>
        <v>8789059.2883580029</v>
      </c>
      <c r="G39" s="73">
        <f>SUM(G7:G38)</f>
        <v>0.65590517311986041</v>
      </c>
      <c r="H39" s="39"/>
      <c r="I39" s="39"/>
    </row>
    <row r="40" spans="1:9">
      <c r="A40" s="57"/>
      <c r="B40" s="64" t="s">
        <v>295</v>
      </c>
      <c r="C40" s="65"/>
      <c r="D40" s="65"/>
      <c r="E40" s="65"/>
      <c r="F40" s="57"/>
      <c r="G40" s="66"/>
      <c r="H40" s="66"/>
      <c r="I40" s="66"/>
    </row>
    <row r="41" spans="1:9" ht="39">
      <c r="A41" s="67" t="s">
        <v>296</v>
      </c>
      <c r="B41" s="68" t="s">
        <v>297</v>
      </c>
      <c r="C41" s="65" t="s">
        <v>298</v>
      </c>
      <c r="D41" s="65" t="s">
        <v>299</v>
      </c>
      <c r="E41" s="69">
        <v>6601500</v>
      </c>
      <c r="F41" s="70">
        <v>92117.33</v>
      </c>
      <c r="G41" s="71">
        <v>6.8999999999999999E-3</v>
      </c>
      <c r="H41" s="66"/>
      <c r="I41" s="66"/>
    </row>
    <row r="42" spans="1:9" ht="26">
      <c r="A42" s="67" t="s">
        <v>300</v>
      </c>
      <c r="B42" s="68" t="s">
        <v>132</v>
      </c>
      <c r="C42" s="65" t="s">
        <v>133</v>
      </c>
      <c r="D42" s="65" t="s">
        <v>111</v>
      </c>
      <c r="E42" s="69">
        <v>4191750</v>
      </c>
      <c r="F42" s="70">
        <v>38976.99</v>
      </c>
      <c r="G42" s="71">
        <v>2.8999999999999998E-3</v>
      </c>
      <c r="H42" s="66"/>
      <c r="I42" s="66"/>
    </row>
    <row r="43" spans="1:9" ht="26">
      <c r="A43" s="67" t="s">
        <v>301</v>
      </c>
      <c r="B43" s="68" t="s">
        <v>302</v>
      </c>
      <c r="C43" s="65" t="s">
        <v>303</v>
      </c>
      <c r="D43" s="65" t="s">
        <v>168</v>
      </c>
      <c r="E43" s="69">
        <v>1876500</v>
      </c>
      <c r="F43" s="70">
        <v>20212.72</v>
      </c>
      <c r="G43" s="71">
        <v>1.5E-3</v>
      </c>
      <c r="H43" s="66"/>
      <c r="I43" s="66"/>
    </row>
    <row r="44" spans="1:9" ht="26">
      <c r="A44" s="67" t="s">
        <v>304</v>
      </c>
      <c r="B44" s="68" t="s">
        <v>21</v>
      </c>
      <c r="C44" s="65" t="s">
        <v>22</v>
      </c>
      <c r="D44" s="65" t="s">
        <v>23</v>
      </c>
      <c r="E44" s="69">
        <v>6455350</v>
      </c>
      <c r="F44" s="70">
        <v>17661.84</v>
      </c>
      <c r="G44" s="71">
        <v>1.2999999999999999E-3</v>
      </c>
      <c r="H44" s="66"/>
      <c r="I44" s="66"/>
    </row>
    <row r="45" spans="1:9" ht="39">
      <c r="A45" s="67" t="s">
        <v>305</v>
      </c>
      <c r="B45" s="68" t="s">
        <v>306</v>
      </c>
      <c r="C45" s="65" t="s">
        <v>307</v>
      </c>
      <c r="D45" s="65" t="s">
        <v>111</v>
      </c>
      <c r="E45" s="69">
        <v>6074750</v>
      </c>
      <c r="F45" s="70">
        <v>15460.24</v>
      </c>
      <c r="G45" s="71">
        <v>1.1999999999999999E-3</v>
      </c>
      <c r="H45" s="66"/>
      <c r="I45" s="66"/>
    </row>
    <row r="46" spans="1:9" ht="39">
      <c r="A46" s="67" t="s">
        <v>308</v>
      </c>
      <c r="B46" s="68" t="s">
        <v>107</v>
      </c>
      <c r="C46" s="65" t="s">
        <v>108</v>
      </c>
      <c r="D46" s="65" t="s">
        <v>68</v>
      </c>
      <c r="E46" s="69">
        <v>3059475</v>
      </c>
      <c r="F46" s="70">
        <v>13737.04</v>
      </c>
      <c r="G46" s="71">
        <v>1E-3</v>
      </c>
      <c r="H46" s="66"/>
      <c r="I46" s="66"/>
    </row>
    <row r="47" spans="1:9" ht="26">
      <c r="A47" s="67" t="s">
        <v>309</v>
      </c>
      <c r="B47" s="68" t="s">
        <v>310</v>
      </c>
      <c r="C47" s="65" t="s">
        <v>311</v>
      </c>
      <c r="D47" s="65" t="s">
        <v>312</v>
      </c>
      <c r="E47" s="69">
        <v>6308500</v>
      </c>
      <c r="F47" s="70">
        <v>12183.61</v>
      </c>
      <c r="G47" s="71">
        <v>8.9999999999999998E-4</v>
      </c>
      <c r="H47" s="66"/>
      <c r="I47" s="66"/>
    </row>
    <row r="48" spans="1:9" ht="39">
      <c r="A48" s="67" t="s">
        <v>313</v>
      </c>
      <c r="B48" s="68" t="s">
        <v>314</v>
      </c>
      <c r="C48" s="65" t="s">
        <v>315</v>
      </c>
      <c r="D48" s="65" t="s">
        <v>316</v>
      </c>
      <c r="E48" s="69">
        <v>305725</v>
      </c>
      <c r="F48" s="70">
        <v>12022.02</v>
      </c>
      <c r="G48" s="71">
        <v>8.9999999999999998E-4</v>
      </c>
      <c r="H48" s="66"/>
      <c r="I48" s="66"/>
    </row>
    <row r="49" spans="1:9" ht="39">
      <c r="A49" s="67" t="s">
        <v>317</v>
      </c>
      <c r="B49" s="68" t="s">
        <v>318</v>
      </c>
      <c r="C49" s="65" t="s">
        <v>319</v>
      </c>
      <c r="D49" s="65" t="s">
        <v>320</v>
      </c>
      <c r="E49" s="69">
        <v>300300</v>
      </c>
      <c r="F49" s="70">
        <v>11944.13</v>
      </c>
      <c r="G49" s="71">
        <v>8.9999999999999998E-4</v>
      </c>
      <c r="H49" s="66"/>
      <c r="I49" s="66"/>
    </row>
    <row r="50" spans="1:9" ht="39">
      <c r="A50" s="67" t="s">
        <v>321</v>
      </c>
      <c r="B50" s="68" t="s">
        <v>322</v>
      </c>
      <c r="C50" s="65" t="s">
        <v>323</v>
      </c>
      <c r="D50" s="65" t="s">
        <v>324</v>
      </c>
      <c r="E50" s="69">
        <v>1232000</v>
      </c>
      <c r="F50" s="70">
        <v>11859.23</v>
      </c>
      <c r="G50" s="71">
        <v>8.9999999999999998E-4</v>
      </c>
      <c r="H50" s="66"/>
      <c r="I50" s="66"/>
    </row>
    <row r="51" spans="1:9" ht="52">
      <c r="A51" s="67" t="s">
        <v>325</v>
      </c>
      <c r="B51" s="68" t="s">
        <v>326</v>
      </c>
      <c r="C51" s="65" t="s">
        <v>327</v>
      </c>
      <c r="D51" s="65" t="s">
        <v>146</v>
      </c>
      <c r="E51" s="69">
        <v>730100</v>
      </c>
      <c r="F51" s="70">
        <v>11647.29</v>
      </c>
      <c r="G51" s="71">
        <v>8.9999999999999998E-4</v>
      </c>
      <c r="H51" s="66"/>
      <c r="I51" s="66"/>
    </row>
    <row r="52" spans="1:9" ht="26">
      <c r="A52" s="67" t="s">
        <v>328</v>
      </c>
      <c r="B52" s="68" t="s">
        <v>166</v>
      </c>
      <c r="C52" s="65" t="s">
        <v>167</v>
      </c>
      <c r="D52" s="65" t="s">
        <v>168</v>
      </c>
      <c r="E52" s="69">
        <v>1291500</v>
      </c>
      <c r="F52" s="70">
        <v>11573.13</v>
      </c>
      <c r="G52" s="71">
        <v>8.9999999999999998E-4</v>
      </c>
      <c r="H52" s="66"/>
      <c r="I52" s="66"/>
    </row>
    <row r="53" spans="1:9" ht="26">
      <c r="A53" s="67" t="s">
        <v>329</v>
      </c>
      <c r="B53" s="68" t="s">
        <v>330</v>
      </c>
      <c r="C53" s="65" t="s">
        <v>331</v>
      </c>
      <c r="D53" s="65" t="s">
        <v>127</v>
      </c>
      <c r="E53" s="69">
        <v>1118700</v>
      </c>
      <c r="F53" s="70">
        <v>7112.14</v>
      </c>
      <c r="G53" s="71">
        <v>5.0000000000000001E-4</v>
      </c>
      <c r="H53" s="66"/>
      <c r="I53" s="66"/>
    </row>
    <row r="54" spans="1:9" ht="26">
      <c r="A54" s="67" t="s">
        <v>332</v>
      </c>
      <c r="B54" s="68" t="s">
        <v>333</v>
      </c>
      <c r="C54" s="65" t="s">
        <v>334</v>
      </c>
      <c r="D54" s="65" t="s">
        <v>168</v>
      </c>
      <c r="E54" s="69">
        <v>5400000</v>
      </c>
      <c r="F54" s="70">
        <v>6760.26</v>
      </c>
      <c r="G54" s="71">
        <v>5.0000000000000001E-4</v>
      </c>
      <c r="H54" s="66"/>
      <c r="I54" s="66"/>
    </row>
    <row r="55" spans="1:9" ht="26">
      <c r="A55" s="67" t="s">
        <v>335</v>
      </c>
      <c r="B55" s="68" t="s">
        <v>336</v>
      </c>
      <c r="C55" s="65" t="s">
        <v>337</v>
      </c>
      <c r="D55" s="65" t="s">
        <v>111</v>
      </c>
      <c r="E55" s="69">
        <v>318500</v>
      </c>
      <c r="F55" s="70">
        <v>6219.03</v>
      </c>
      <c r="G55" s="71">
        <v>5.0000000000000001E-4</v>
      </c>
      <c r="H55" s="66"/>
      <c r="I55" s="66"/>
    </row>
    <row r="56" spans="1:9" ht="39">
      <c r="A56" s="67" t="s">
        <v>338</v>
      </c>
      <c r="B56" s="68" t="s">
        <v>142</v>
      </c>
      <c r="C56" s="65" t="s">
        <v>143</v>
      </c>
      <c r="D56" s="65" t="s">
        <v>68</v>
      </c>
      <c r="E56" s="69">
        <v>126000</v>
      </c>
      <c r="F56" s="70">
        <v>5820.44</v>
      </c>
      <c r="G56" s="71">
        <v>4.0000000000000002E-4</v>
      </c>
      <c r="H56" s="66"/>
      <c r="I56" s="66"/>
    </row>
    <row r="57" spans="1:9" ht="26">
      <c r="A57" s="67" t="s">
        <v>339</v>
      </c>
      <c r="B57" s="68" t="s">
        <v>340</v>
      </c>
      <c r="C57" s="65" t="s">
        <v>341</v>
      </c>
      <c r="D57" s="65" t="s">
        <v>256</v>
      </c>
      <c r="E57" s="69">
        <v>282500</v>
      </c>
      <c r="F57" s="70">
        <v>3764.03</v>
      </c>
      <c r="G57" s="71">
        <v>2.9999999999999997E-4</v>
      </c>
      <c r="H57" s="66"/>
      <c r="I57" s="66"/>
    </row>
    <row r="58" spans="1:9" ht="39">
      <c r="A58" s="67" t="s">
        <v>342</v>
      </c>
      <c r="B58" s="68" t="s">
        <v>343</v>
      </c>
      <c r="C58" s="65" t="s">
        <v>344</v>
      </c>
      <c r="D58" s="65" t="s">
        <v>345</v>
      </c>
      <c r="E58" s="69">
        <v>775125</v>
      </c>
      <c r="F58" s="70">
        <v>3652.78</v>
      </c>
      <c r="G58" s="71">
        <v>2.9999999999999997E-4</v>
      </c>
      <c r="H58" s="66"/>
      <c r="I58" s="66"/>
    </row>
    <row r="59" spans="1:9" ht="39">
      <c r="A59" s="67" t="s">
        <v>346</v>
      </c>
      <c r="B59" s="68" t="s">
        <v>347</v>
      </c>
      <c r="C59" s="65" t="s">
        <v>348</v>
      </c>
      <c r="D59" s="65" t="s">
        <v>111</v>
      </c>
      <c r="E59" s="69">
        <v>591000</v>
      </c>
      <c r="F59" s="70">
        <v>3110.43</v>
      </c>
      <c r="G59" s="71">
        <v>2.0000000000000001E-4</v>
      </c>
      <c r="H59" s="66"/>
      <c r="I59" s="66"/>
    </row>
    <row r="60" spans="1:9" ht="26">
      <c r="A60" s="67" t="s">
        <v>349</v>
      </c>
      <c r="B60" s="68" t="s">
        <v>169</v>
      </c>
      <c r="C60" s="65" t="s">
        <v>170</v>
      </c>
      <c r="D60" s="65" t="s">
        <v>168</v>
      </c>
      <c r="E60" s="69">
        <v>3580150</v>
      </c>
      <c r="F60" s="70">
        <v>2992.29</v>
      </c>
      <c r="G60" s="71">
        <v>2.0000000000000001E-4</v>
      </c>
      <c r="H60" s="66"/>
      <c r="I60" s="66"/>
    </row>
    <row r="61" spans="1:9" ht="39">
      <c r="A61" s="67" t="s">
        <v>350</v>
      </c>
      <c r="B61" s="68" t="s">
        <v>351</v>
      </c>
      <c r="C61" s="65" t="s">
        <v>352</v>
      </c>
      <c r="D61" s="65" t="s">
        <v>353</v>
      </c>
      <c r="E61" s="69">
        <v>98750</v>
      </c>
      <c r="F61" s="70">
        <v>2783.76</v>
      </c>
      <c r="G61" s="71">
        <v>2.0000000000000001E-4</v>
      </c>
      <c r="H61" s="66"/>
      <c r="I61" s="66"/>
    </row>
    <row r="62" spans="1:9" ht="26">
      <c r="A62" s="67" t="s">
        <v>354</v>
      </c>
      <c r="B62" s="68" t="s">
        <v>355</v>
      </c>
      <c r="C62" s="65" t="s">
        <v>356</v>
      </c>
      <c r="D62" s="65" t="s">
        <v>312</v>
      </c>
      <c r="E62" s="69">
        <v>207900</v>
      </c>
      <c r="F62" s="70">
        <v>2524.7399999999998</v>
      </c>
      <c r="G62" s="71">
        <v>2.0000000000000001E-4</v>
      </c>
      <c r="H62" s="66"/>
      <c r="I62" s="66"/>
    </row>
    <row r="63" spans="1:9" ht="39">
      <c r="A63" s="67" t="s">
        <v>357</v>
      </c>
      <c r="B63" s="68" t="s">
        <v>358</v>
      </c>
      <c r="C63" s="65" t="s">
        <v>359</v>
      </c>
      <c r="D63" s="65" t="s">
        <v>146</v>
      </c>
      <c r="E63" s="69">
        <v>39600</v>
      </c>
      <c r="F63" s="70">
        <v>2396.1999999999998</v>
      </c>
      <c r="G63" s="71">
        <v>2.0000000000000001E-4</v>
      </c>
      <c r="H63" s="66"/>
      <c r="I63" s="66"/>
    </row>
    <row r="64" spans="1:9" ht="26">
      <c r="A64" s="67" t="s">
        <v>360</v>
      </c>
      <c r="B64" s="68" t="s">
        <v>361</v>
      </c>
      <c r="C64" s="65" t="s">
        <v>362</v>
      </c>
      <c r="D64" s="65" t="s">
        <v>168</v>
      </c>
      <c r="E64" s="69">
        <v>772200</v>
      </c>
      <c r="F64" s="70">
        <v>2311.9699999999998</v>
      </c>
      <c r="G64" s="71">
        <v>2.0000000000000001E-4</v>
      </c>
      <c r="H64" s="66"/>
      <c r="I64" s="66"/>
    </row>
    <row r="65" spans="1:9" ht="52">
      <c r="A65" s="67" t="s">
        <v>363</v>
      </c>
      <c r="B65" s="68" t="s">
        <v>364</v>
      </c>
      <c r="C65" s="65" t="s">
        <v>365</v>
      </c>
      <c r="D65" s="65" t="s">
        <v>366</v>
      </c>
      <c r="E65" s="69">
        <v>155100</v>
      </c>
      <c r="F65" s="70">
        <v>1758.68</v>
      </c>
      <c r="G65" s="71">
        <v>1E-4</v>
      </c>
      <c r="H65" s="66"/>
      <c r="I65" s="66"/>
    </row>
    <row r="66" spans="1:9" ht="26">
      <c r="A66" s="67" t="s">
        <v>367</v>
      </c>
      <c r="B66" s="68" t="s">
        <v>368</v>
      </c>
      <c r="C66" s="65" t="s">
        <v>369</v>
      </c>
      <c r="D66" s="65" t="s">
        <v>120</v>
      </c>
      <c r="E66" s="69">
        <v>21400</v>
      </c>
      <c r="F66" s="70">
        <v>1524.22</v>
      </c>
      <c r="G66" s="71">
        <v>1E-4</v>
      </c>
      <c r="H66" s="66"/>
      <c r="I66" s="66"/>
    </row>
    <row r="67" spans="1:9" ht="39">
      <c r="A67" s="67" t="s">
        <v>370</v>
      </c>
      <c r="B67" s="68" t="s">
        <v>123</v>
      </c>
      <c r="C67" s="65" t="s">
        <v>124</v>
      </c>
      <c r="D67" s="65" t="s">
        <v>111</v>
      </c>
      <c r="E67" s="69">
        <v>127050</v>
      </c>
      <c r="F67" s="70">
        <v>1295.9100000000001</v>
      </c>
      <c r="G67" s="71">
        <v>1E-4</v>
      </c>
      <c r="H67" s="66"/>
      <c r="I67" s="66"/>
    </row>
    <row r="68" spans="1:9" ht="26">
      <c r="A68" s="67" t="s">
        <v>371</v>
      </c>
      <c r="B68" s="68" t="s">
        <v>372</v>
      </c>
      <c r="C68" s="65" t="s">
        <v>373</v>
      </c>
      <c r="D68" s="65" t="s">
        <v>374</v>
      </c>
      <c r="E68" s="69">
        <v>1498500</v>
      </c>
      <c r="F68" s="70">
        <v>1216.93</v>
      </c>
      <c r="G68" s="71">
        <v>1E-4</v>
      </c>
      <c r="H68" s="66"/>
      <c r="I68" s="66"/>
    </row>
    <row r="69" spans="1:9" ht="26">
      <c r="A69" s="67" t="s">
        <v>375</v>
      </c>
      <c r="B69" s="68" t="s">
        <v>376</v>
      </c>
      <c r="C69" s="65" t="s">
        <v>377</v>
      </c>
      <c r="D69" s="65" t="s">
        <v>378</v>
      </c>
      <c r="E69" s="69">
        <v>169050</v>
      </c>
      <c r="F69" s="70">
        <v>1152.1600000000001</v>
      </c>
      <c r="G69" s="71">
        <v>1E-4</v>
      </c>
      <c r="H69" s="66"/>
      <c r="I69" s="66"/>
    </row>
    <row r="70" spans="1:9" ht="39">
      <c r="A70" s="67" t="s">
        <v>379</v>
      </c>
      <c r="B70" s="68" t="s">
        <v>380</v>
      </c>
      <c r="C70" s="65" t="s">
        <v>381</v>
      </c>
      <c r="D70" s="65" t="s">
        <v>146</v>
      </c>
      <c r="E70" s="69">
        <v>48875</v>
      </c>
      <c r="F70" s="70">
        <v>1052.18</v>
      </c>
      <c r="G70" s="71">
        <v>1E-4</v>
      </c>
      <c r="H70" s="66"/>
      <c r="I70" s="66"/>
    </row>
    <row r="71" spans="1:9" ht="39">
      <c r="A71" s="67" t="s">
        <v>382</v>
      </c>
      <c r="B71" s="68" t="s">
        <v>383</v>
      </c>
      <c r="C71" s="65" t="s">
        <v>384</v>
      </c>
      <c r="D71" s="65" t="s">
        <v>146</v>
      </c>
      <c r="E71" s="69">
        <v>285000</v>
      </c>
      <c r="F71" s="70">
        <v>1045.3800000000001</v>
      </c>
      <c r="G71" s="71">
        <v>1E-4</v>
      </c>
      <c r="H71" s="66"/>
      <c r="I71" s="66"/>
    </row>
    <row r="72" spans="1:9" ht="26">
      <c r="A72" s="67" t="s">
        <v>385</v>
      </c>
      <c r="B72" s="68" t="s">
        <v>386</v>
      </c>
      <c r="C72" s="65" t="s">
        <v>387</v>
      </c>
      <c r="D72" s="65" t="s">
        <v>23</v>
      </c>
      <c r="E72" s="69">
        <v>25500</v>
      </c>
      <c r="F72" s="70">
        <v>965.3</v>
      </c>
      <c r="G72" s="71">
        <v>1E-4</v>
      </c>
      <c r="H72" s="66"/>
      <c r="I72" s="66"/>
    </row>
    <row r="73" spans="1:9" ht="52">
      <c r="A73" s="67" t="s">
        <v>388</v>
      </c>
      <c r="B73" s="68" t="s">
        <v>389</v>
      </c>
      <c r="C73" s="65" t="s">
        <v>390</v>
      </c>
      <c r="D73" s="65" t="s">
        <v>299</v>
      </c>
      <c r="E73" s="69">
        <v>174150</v>
      </c>
      <c r="F73" s="70">
        <v>743.62</v>
      </c>
      <c r="G73" s="71">
        <v>1E-4</v>
      </c>
      <c r="H73" s="66"/>
      <c r="I73" s="66"/>
    </row>
    <row r="74" spans="1:9" ht="26">
      <c r="A74" s="67" t="s">
        <v>391</v>
      </c>
      <c r="B74" s="68" t="s">
        <v>392</v>
      </c>
      <c r="C74" s="65" t="s">
        <v>393</v>
      </c>
      <c r="D74" s="65" t="s">
        <v>168</v>
      </c>
      <c r="E74" s="69">
        <v>478800</v>
      </c>
      <c r="F74" s="70">
        <v>740.46</v>
      </c>
      <c r="G74" s="71">
        <v>1E-4</v>
      </c>
      <c r="H74" s="66"/>
      <c r="I74" s="66"/>
    </row>
    <row r="75" spans="1:9" ht="26">
      <c r="A75" s="67" t="s">
        <v>394</v>
      </c>
      <c r="B75" s="68" t="s">
        <v>395</v>
      </c>
      <c r="C75" s="65" t="s">
        <v>396</v>
      </c>
      <c r="D75" s="65" t="s">
        <v>397</v>
      </c>
      <c r="E75" s="69">
        <v>641700</v>
      </c>
      <c r="F75" s="70">
        <v>602.49</v>
      </c>
      <c r="G75" s="71" t="s">
        <v>189</v>
      </c>
      <c r="H75" s="66"/>
      <c r="I75" s="66"/>
    </row>
    <row r="76" spans="1:9" ht="39">
      <c r="A76" s="67" t="s">
        <v>398</v>
      </c>
      <c r="B76" s="68" t="s">
        <v>16</v>
      </c>
      <c r="C76" s="65" t="s">
        <v>17</v>
      </c>
      <c r="D76" s="65" t="s">
        <v>13</v>
      </c>
      <c r="E76" s="69">
        <v>33000</v>
      </c>
      <c r="F76" s="70">
        <v>575.22</v>
      </c>
      <c r="G76" s="71" t="s">
        <v>189</v>
      </c>
      <c r="H76" s="66"/>
      <c r="I76" s="66"/>
    </row>
    <row r="77" spans="1:9" ht="39">
      <c r="A77" s="67" t="s">
        <v>399</v>
      </c>
      <c r="B77" s="68" t="s">
        <v>400</v>
      </c>
      <c r="C77" s="65" t="s">
        <v>401</v>
      </c>
      <c r="D77" s="65" t="s">
        <v>111</v>
      </c>
      <c r="E77" s="69">
        <v>68250</v>
      </c>
      <c r="F77" s="70">
        <v>561.29</v>
      </c>
      <c r="G77" s="71" t="s">
        <v>189</v>
      </c>
      <c r="H77" s="66"/>
      <c r="I77" s="66"/>
    </row>
    <row r="78" spans="1:9" ht="39">
      <c r="A78" s="67" t="s">
        <v>402</v>
      </c>
      <c r="B78" s="68" t="s">
        <v>403</v>
      </c>
      <c r="C78" s="65" t="s">
        <v>404</v>
      </c>
      <c r="D78" s="65" t="s">
        <v>146</v>
      </c>
      <c r="E78" s="69">
        <v>31900</v>
      </c>
      <c r="F78" s="70">
        <v>385.26</v>
      </c>
      <c r="G78" s="71" t="s">
        <v>189</v>
      </c>
      <c r="H78" s="66"/>
      <c r="I78" s="66"/>
    </row>
    <row r="79" spans="1:9" ht="52">
      <c r="A79" s="67" t="s">
        <v>405</v>
      </c>
      <c r="B79" s="68" t="s">
        <v>406</v>
      </c>
      <c r="C79" s="65" t="s">
        <v>407</v>
      </c>
      <c r="D79" s="65" t="s">
        <v>408</v>
      </c>
      <c r="E79" s="69">
        <v>45000</v>
      </c>
      <c r="F79" s="70">
        <v>303.37</v>
      </c>
      <c r="G79" s="71" t="s">
        <v>189</v>
      </c>
      <c r="H79" s="66"/>
      <c r="I79" s="66"/>
    </row>
    <row r="80" spans="1:9" ht="26">
      <c r="A80" s="67" t="s">
        <v>409</v>
      </c>
      <c r="B80" s="68" t="s">
        <v>410</v>
      </c>
      <c r="C80" s="65" t="s">
        <v>411</v>
      </c>
      <c r="D80" s="65" t="s">
        <v>412</v>
      </c>
      <c r="E80" s="69">
        <v>52500</v>
      </c>
      <c r="F80" s="70">
        <v>265.97000000000003</v>
      </c>
      <c r="G80" s="71" t="s">
        <v>189</v>
      </c>
      <c r="H80" s="66"/>
      <c r="I80" s="66"/>
    </row>
    <row r="81" spans="1:9" ht="26">
      <c r="A81" s="67" t="s">
        <v>413</v>
      </c>
      <c r="B81" s="68" t="s">
        <v>414</v>
      </c>
      <c r="C81" s="65" t="s">
        <v>415</v>
      </c>
      <c r="D81" s="65" t="s">
        <v>114</v>
      </c>
      <c r="E81" s="69">
        <v>3750</v>
      </c>
      <c r="F81" s="70">
        <v>263.01</v>
      </c>
      <c r="G81" s="71" t="s">
        <v>189</v>
      </c>
      <c r="H81" s="66"/>
      <c r="I81" s="66"/>
    </row>
    <row r="82" spans="1:9" ht="26">
      <c r="A82" s="67" t="s">
        <v>416</v>
      </c>
      <c r="B82" s="68" t="s">
        <v>417</v>
      </c>
      <c r="C82" s="65" t="s">
        <v>418</v>
      </c>
      <c r="D82" s="65" t="s">
        <v>345</v>
      </c>
      <c r="E82" s="69">
        <v>16000</v>
      </c>
      <c r="F82" s="70">
        <v>218.02</v>
      </c>
      <c r="G82" s="71" t="s">
        <v>189</v>
      </c>
      <c r="H82" s="66"/>
      <c r="I82" s="66"/>
    </row>
    <row r="83" spans="1:9" ht="39">
      <c r="A83" s="67" t="s">
        <v>419</v>
      </c>
      <c r="B83" s="68" t="s">
        <v>420</v>
      </c>
      <c r="C83" s="65" t="s">
        <v>421</v>
      </c>
      <c r="D83" s="65" t="s">
        <v>211</v>
      </c>
      <c r="E83" s="69">
        <v>36250</v>
      </c>
      <c r="F83" s="70">
        <v>132.78</v>
      </c>
      <c r="G83" s="71" t="s">
        <v>189</v>
      </c>
      <c r="H83" s="66"/>
      <c r="I83" s="66"/>
    </row>
    <row r="84" spans="1:9" ht="39">
      <c r="A84" s="67" t="s">
        <v>422</v>
      </c>
      <c r="B84" s="68" t="s">
        <v>423</v>
      </c>
      <c r="C84" s="65" t="s">
        <v>424</v>
      </c>
      <c r="D84" s="65" t="s">
        <v>127</v>
      </c>
      <c r="E84" s="69">
        <v>8250</v>
      </c>
      <c r="F84" s="70">
        <v>130.09</v>
      </c>
      <c r="G84" s="71" t="s">
        <v>189</v>
      </c>
      <c r="H84" s="66"/>
      <c r="I84" s="66"/>
    </row>
    <row r="85" spans="1:9" ht="39">
      <c r="A85" s="67" t="s">
        <v>425</v>
      </c>
      <c r="B85" s="68" t="s">
        <v>426</v>
      </c>
      <c r="C85" s="65" t="s">
        <v>427</v>
      </c>
      <c r="D85" s="65" t="s">
        <v>117</v>
      </c>
      <c r="E85" s="69">
        <v>47250</v>
      </c>
      <c r="F85" s="70">
        <v>124.13</v>
      </c>
      <c r="G85" s="71" t="s">
        <v>189</v>
      </c>
      <c r="H85" s="66"/>
      <c r="I85" s="66"/>
    </row>
    <row r="86" spans="1:9" ht="39">
      <c r="A86" s="67" t="s">
        <v>428</v>
      </c>
      <c r="B86" s="68" t="s">
        <v>429</v>
      </c>
      <c r="C86" s="65" t="s">
        <v>430</v>
      </c>
      <c r="D86" s="65" t="s">
        <v>312</v>
      </c>
      <c r="E86" s="69">
        <v>56400</v>
      </c>
      <c r="F86" s="70">
        <v>85.24</v>
      </c>
      <c r="G86" s="71" t="s">
        <v>189</v>
      </c>
      <c r="H86" s="66"/>
      <c r="I86" s="66"/>
    </row>
    <row r="87" spans="1:9" ht="26">
      <c r="A87" s="67" t="s">
        <v>431</v>
      </c>
      <c r="B87" s="68" t="s">
        <v>432</v>
      </c>
      <c r="C87" s="65" t="s">
        <v>433</v>
      </c>
      <c r="D87" s="65" t="s">
        <v>434</v>
      </c>
      <c r="E87" s="69">
        <v>44100</v>
      </c>
      <c r="F87" s="70">
        <v>73.77</v>
      </c>
      <c r="G87" s="71" t="s">
        <v>189</v>
      </c>
      <c r="H87" s="66"/>
      <c r="I87" s="66"/>
    </row>
    <row r="88" spans="1:9" ht="39">
      <c r="A88" s="67" t="s">
        <v>435</v>
      </c>
      <c r="B88" s="68" t="s">
        <v>436</v>
      </c>
      <c r="C88" s="65" t="s">
        <v>437</v>
      </c>
      <c r="D88" s="65" t="s">
        <v>127</v>
      </c>
      <c r="E88" s="69">
        <v>4500</v>
      </c>
      <c r="F88" s="70">
        <v>43.72</v>
      </c>
      <c r="G88" s="71" t="s">
        <v>189</v>
      </c>
      <c r="H88" s="66"/>
      <c r="I88" s="66"/>
    </row>
    <row r="89" spans="1:9" ht="26">
      <c r="A89" s="67" t="s">
        <v>438</v>
      </c>
      <c r="B89" s="68" t="s">
        <v>439</v>
      </c>
      <c r="C89" s="65" t="s">
        <v>440</v>
      </c>
      <c r="D89" s="65" t="s">
        <v>83</v>
      </c>
      <c r="E89" s="69">
        <v>1500</v>
      </c>
      <c r="F89" s="70">
        <v>36.42</v>
      </c>
      <c r="G89" s="71" t="s">
        <v>189</v>
      </c>
      <c r="H89" s="66"/>
      <c r="I89" s="66"/>
    </row>
    <row r="90" spans="1:9" ht="26">
      <c r="A90" s="67" t="s">
        <v>441</v>
      </c>
      <c r="B90" s="68" t="s">
        <v>442</v>
      </c>
      <c r="C90" s="65" t="s">
        <v>443</v>
      </c>
      <c r="D90" s="65" t="s">
        <v>312</v>
      </c>
      <c r="E90" s="69">
        <v>3125</v>
      </c>
      <c r="F90" s="70">
        <v>35.380000000000003</v>
      </c>
      <c r="G90" s="71" t="s">
        <v>189</v>
      </c>
      <c r="H90" s="66"/>
      <c r="I90" s="66"/>
    </row>
    <row r="91" spans="1:9" ht="26">
      <c r="A91" s="74"/>
      <c r="B91" s="64" t="s">
        <v>444</v>
      </c>
      <c r="C91" s="75"/>
      <c r="D91" s="75"/>
      <c r="E91" s="76"/>
      <c r="F91" s="77"/>
      <c r="G91" s="78"/>
      <c r="H91" s="79"/>
      <c r="I91" s="79"/>
    </row>
    <row r="92" spans="1:9">
      <c r="A92" s="74" t="s">
        <v>445</v>
      </c>
      <c r="B92" s="80" t="s">
        <v>446</v>
      </c>
      <c r="C92" s="75" t="s">
        <v>72</v>
      </c>
      <c r="D92" s="75" t="s">
        <v>20</v>
      </c>
      <c r="E92" s="76">
        <v>199025</v>
      </c>
      <c r="F92" s="81">
        <v>3112.9500250000001</v>
      </c>
      <c r="G92" s="78">
        <v>2.3236206250750003E-4</v>
      </c>
      <c r="H92" s="82"/>
      <c r="I92" s="82"/>
    </row>
    <row r="93" spans="1:9">
      <c r="A93" s="57"/>
      <c r="B93" s="30" t="s">
        <v>90</v>
      </c>
      <c r="C93" s="31"/>
      <c r="D93" s="31"/>
      <c r="E93" s="31"/>
      <c r="F93" s="72">
        <f>SUM(F41:F92)</f>
        <v>337287.59002499998</v>
      </c>
      <c r="G93" s="83">
        <f>SUM(G41:G92)</f>
        <v>2.5132362062507501E-2</v>
      </c>
      <c r="H93" s="39"/>
      <c r="I93" s="39"/>
    </row>
    <row r="94" spans="1:9">
      <c r="A94" s="57"/>
      <c r="B94" s="64" t="s">
        <v>447</v>
      </c>
      <c r="C94" s="65"/>
      <c r="D94" s="65"/>
      <c r="E94" s="65"/>
      <c r="F94" s="57"/>
      <c r="G94" s="66"/>
      <c r="H94" s="66"/>
      <c r="I94" s="66"/>
    </row>
    <row r="95" spans="1:9" ht="39">
      <c r="A95" s="67" t="s">
        <v>448</v>
      </c>
      <c r="B95" s="68" t="s">
        <v>449</v>
      </c>
      <c r="C95" s="65" t="s">
        <v>450</v>
      </c>
      <c r="D95" s="65" t="s">
        <v>127</v>
      </c>
      <c r="E95" s="69">
        <v>25301087</v>
      </c>
      <c r="F95" s="70">
        <v>89292.6</v>
      </c>
      <c r="G95" s="71">
        <v>6.7000000000000002E-3</v>
      </c>
      <c r="H95" s="66"/>
      <c r="I95" s="66"/>
    </row>
    <row r="96" spans="1:9" ht="39">
      <c r="A96" s="67" t="s">
        <v>451</v>
      </c>
      <c r="B96" s="68" t="s">
        <v>452</v>
      </c>
      <c r="C96" s="65" t="s">
        <v>453</v>
      </c>
      <c r="D96" s="65" t="s">
        <v>127</v>
      </c>
      <c r="E96" s="69">
        <v>19318028</v>
      </c>
      <c r="F96" s="70">
        <v>83890.47</v>
      </c>
      <c r="G96" s="71">
        <v>6.3E-3</v>
      </c>
      <c r="H96" s="66"/>
      <c r="I96" s="66"/>
    </row>
    <row r="97" spans="1:9" ht="39">
      <c r="A97" s="67" t="s">
        <v>454</v>
      </c>
      <c r="B97" s="68" t="s">
        <v>455</v>
      </c>
      <c r="C97" s="65" t="s">
        <v>456</v>
      </c>
      <c r="D97" s="65" t="s">
        <v>127</v>
      </c>
      <c r="E97" s="69">
        <v>870684</v>
      </c>
      <c r="F97" s="70">
        <v>4340.3599999999997</v>
      </c>
      <c r="G97" s="71">
        <v>2.9999999999999997E-4</v>
      </c>
      <c r="H97" s="66"/>
      <c r="I97" s="66"/>
    </row>
    <row r="98" spans="1:9">
      <c r="A98" s="57"/>
      <c r="B98" s="30" t="s">
        <v>90</v>
      </c>
      <c r="C98" s="31"/>
      <c r="D98" s="31"/>
      <c r="E98" s="31"/>
      <c r="F98" s="72">
        <v>177523.43</v>
      </c>
      <c r="G98" s="73">
        <v>1.3299999999999999E-2</v>
      </c>
      <c r="H98" s="39"/>
      <c r="I98" s="39"/>
    </row>
    <row r="99" spans="1:9">
      <c r="A99" s="57"/>
      <c r="B99" s="30" t="s">
        <v>457</v>
      </c>
      <c r="C99" s="31"/>
      <c r="D99" s="31"/>
      <c r="E99" s="31"/>
      <c r="F99" s="39" t="s">
        <v>458</v>
      </c>
      <c r="G99" s="39" t="s">
        <v>458</v>
      </c>
      <c r="H99" s="39"/>
      <c r="I99" s="39"/>
    </row>
    <row r="100" spans="1:9">
      <c r="A100" s="57"/>
      <c r="B100" s="30" t="s">
        <v>90</v>
      </c>
      <c r="C100" s="31"/>
      <c r="D100" s="31"/>
      <c r="E100" s="31"/>
      <c r="F100" s="39" t="s">
        <v>458</v>
      </c>
      <c r="G100" s="39" t="s">
        <v>458</v>
      </c>
      <c r="H100" s="39"/>
      <c r="I100" s="39"/>
    </row>
    <row r="101" spans="1:9">
      <c r="A101" s="57"/>
      <c r="B101" s="30" t="s">
        <v>91</v>
      </c>
      <c r="C101" s="84"/>
      <c r="D101" s="31"/>
      <c r="E101" s="84"/>
      <c r="F101" s="72">
        <v>9303870.3100000005</v>
      </c>
      <c r="G101" s="73">
        <v>0.69430000000000003</v>
      </c>
      <c r="H101" s="39"/>
      <c r="I101" s="39"/>
    </row>
    <row r="102" spans="1:9" ht="65">
      <c r="A102" s="57"/>
      <c r="B102" s="64" t="s">
        <v>459</v>
      </c>
      <c r="C102" s="65"/>
      <c r="D102" s="65"/>
      <c r="E102" s="65"/>
      <c r="F102" s="65"/>
      <c r="G102" s="65"/>
      <c r="H102" s="66"/>
      <c r="I102" s="66"/>
    </row>
    <row r="103" spans="1:9" ht="65">
      <c r="A103" s="57"/>
      <c r="B103" s="64" t="s">
        <v>93</v>
      </c>
      <c r="C103" s="65"/>
      <c r="D103" s="65"/>
      <c r="E103" s="65"/>
      <c r="F103" s="57"/>
      <c r="G103" s="66"/>
      <c r="H103" s="66"/>
      <c r="I103" s="66"/>
    </row>
    <row r="104" spans="1:9" ht="78">
      <c r="A104" s="67" t="s">
        <v>460</v>
      </c>
      <c r="B104" s="68" t="s">
        <v>461</v>
      </c>
      <c r="C104" s="65" t="s">
        <v>462</v>
      </c>
      <c r="D104" s="65" t="s">
        <v>463</v>
      </c>
      <c r="E104" s="69">
        <v>1889757</v>
      </c>
      <c r="F104" s="70">
        <v>587516.84</v>
      </c>
      <c r="G104" s="71">
        <v>4.3900000000000002E-2</v>
      </c>
      <c r="H104" s="66"/>
      <c r="I104" s="66"/>
    </row>
    <row r="105" spans="1:9" ht="78">
      <c r="A105" s="67" t="s">
        <v>464</v>
      </c>
      <c r="B105" s="68" t="s">
        <v>465</v>
      </c>
      <c r="C105" s="65" t="s">
        <v>466</v>
      </c>
      <c r="D105" s="65" t="s">
        <v>463</v>
      </c>
      <c r="E105" s="69">
        <v>591056</v>
      </c>
      <c r="F105" s="70">
        <v>389531.41</v>
      </c>
      <c r="G105" s="71">
        <v>2.9100000000000001E-2</v>
      </c>
      <c r="H105" s="66"/>
      <c r="I105" s="66"/>
    </row>
    <row r="106" spans="1:9" ht="52">
      <c r="A106" s="67" t="s">
        <v>467</v>
      </c>
      <c r="B106" s="68" t="s">
        <v>468</v>
      </c>
      <c r="C106" s="65" t="s">
        <v>469</v>
      </c>
      <c r="D106" s="65" t="s">
        <v>470</v>
      </c>
      <c r="E106" s="69">
        <v>1382258</v>
      </c>
      <c r="F106" s="70">
        <v>304249.21000000002</v>
      </c>
      <c r="G106" s="71">
        <v>2.2700000000000001E-2</v>
      </c>
      <c r="H106" s="66"/>
      <c r="I106" s="66"/>
    </row>
    <row r="107" spans="1:9" ht="52">
      <c r="A107" s="67" t="s">
        <v>471</v>
      </c>
      <c r="B107" s="68" t="s">
        <v>472</v>
      </c>
      <c r="C107" s="65" t="s">
        <v>97</v>
      </c>
      <c r="D107" s="65" t="s">
        <v>473</v>
      </c>
      <c r="E107" s="69">
        <v>733019</v>
      </c>
      <c r="F107" s="70">
        <v>290117.64</v>
      </c>
      <c r="G107" s="71">
        <v>2.1700000000000001E-2</v>
      </c>
      <c r="H107" s="66"/>
      <c r="I107" s="66"/>
    </row>
    <row r="108" spans="1:9">
      <c r="A108" s="57"/>
      <c r="B108" s="30" t="s">
        <v>90</v>
      </c>
      <c r="C108" s="31"/>
      <c r="D108" s="31"/>
      <c r="E108" s="31"/>
      <c r="F108" s="72">
        <v>1571415.1</v>
      </c>
      <c r="G108" s="73">
        <v>0.1174</v>
      </c>
      <c r="H108" s="39"/>
      <c r="I108" s="39"/>
    </row>
    <row r="109" spans="1:9">
      <c r="A109" s="57"/>
      <c r="B109" s="30" t="s">
        <v>173</v>
      </c>
      <c r="C109" s="31"/>
      <c r="D109" s="31"/>
      <c r="E109" s="31"/>
      <c r="F109" s="39" t="s">
        <v>458</v>
      </c>
      <c r="G109" s="39" t="s">
        <v>458</v>
      </c>
      <c r="H109" s="39"/>
      <c r="I109" s="39"/>
    </row>
    <row r="110" spans="1:9">
      <c r="A110" s="57"/>
      <c r="B110" s="30" t="s">
        <v>90</v>
      </c>
      <c r="C110" s="31"/>
      <c r="D110" s="31"/>
      <c r="E110" s="31"/>
      <c r="F110" s="39" t="s">
        <v>458</v>
      </c>
      <c r="G110" s="39" t="s">
        <v>458</v>
      </c>
      <c r="H110" s="39"/>
      <c r="I110" s="39"/>
    </row>
    <row r="111" spans="1:9">
      <c r="A111" s="57"/>
      <c r="B111" s="30" t="s">
        <v>91</v>
      </c>
      <c r="C111" s="84"/>
      <c r="D111" s="31"/>
      <c r="E111" s="84"/>
      <c r="F111" s="72">
        <v>1571415.1</v>
      </c>
      <c r="G111" s="73">
        <v>0.1174</v>
      </c>
      <c r="H111" s="39"/>
      <c r="I111" s="39"/>
    </row>
    <row r="112" spans="1:9" ht="39">
      <c r="A112" s="57"/>
      <c r="B112" s="64" t="s">
        <v>174</v>
      </c>
      <c r="C112" s="65"/>
      <c r="D112" s="65"/>
      <c r="E112" s="65"/>
      <c r="F112" s="65"/>
      <c r="G112" s="65"/>
      <c r="H112" s="66"/>
      <c r="I112" s="66"/>
    </row>
    <row r="113" spans="1:9" ht="26">
      <c r="A113" s="57"/>
      <c r="B113" s="64" t="s">
        <v>474</v>
      </c>
      <c r="C113" s="65"/>
      <c r="D113" s="65"/>
      <c r="E113" s="65"/>
      <c r="F113" s="57"/>
      <c r="G113" s="66"/>
      <c r="H113" s="66"/>
      <c r="I113" s="66"/>
    </row>
    <row r="114" spans="1:9" ht="52">
      <c r="A114" s="67" t="s">
        <v>475</v>
      </c>
      <c r="B114" s="68" t="s">
        <v>476</v>
      </c>
      <c r="C114" s="65" t="s">
        <v>477</v>
      </c>
      <c r="D114" s="65" t="s">
        <v>478</v>
      </c>
      <c r="E114" s="69">
        <v>14000</v>
      </c>
      <c r="F114" s="70">
        <v>66953.39</v>
      </c>
      <c r="G114" s="71">
        <v>5.0000000000000001E-3</v>
      </c>
      <c r="H114" s="85">
        <v>7.0676000000000003E-2</v>
      </c>
      <c r="I114" s="66"/>
    </row>
    <row r="115" spans="1:9" ht="39">
      <c r="A115" s="67" t="s">
        <v>479</v>
      </c>
      <c r="B115" s="68" t="s">
        <v>480</v>
      </c>
      <c r="C115" s="65" t="s">
        <v>481</v>
      </c>
      <c r="D115" s="65" t="s">
        <v>478</v>
      </c>
      <c r="E115" s="69">
        <v>13000</v>
      </c>
      <c r="F115" s="70">
        <v>62633.29</v>
      </c>
      <c r="G115" s="71">
        <v>4.7000000000000002E-3</v>
      </c>
      <c r="H115" s="85">
        <v>7.2209999999999996E-2</v>
      </c>
      <c r="I115" s="66"/>
    </row>
    <row r="116" spans="1:9" ht="39">
      <c r="A116" s="67" t="s">
        <v>482</v>
      </c>
      <c r="B116" s="68" t="s">
        <v>483</v>
      </c>
      <c r="C116" s="65" t="s">
        <v>484</v>
      </c>
      <c r="D116" s="65" t="s">
        <v>320</v>
      </c>
      <c r="E116" s="69">
        <v>13000</v>
      </c>
      <c r="F116" s="70">
        <v>62235.1</v>
      </c>
      <c r="G116" s="71">
        <v>4.5999999999999999E-3</v>
      </c>
      <c r="H116" s="85">
        <v>7.1435999999999999E-2</v>
      </c>
      <c r="I116" s="66"/>
    </row>
    <row r="117" spans="1:9" ht="39">
      <c r="A117" s="67" t="s">
        <v>485</v>
      </c>
      <c r="B117" s="68" t="s">
        <v>486</v>
      </c>
      <c r="C117" s="65" t="s">
        <v>487</v>
      </c>
      <c r="D117" s="65" t="s">
        <v>478</v>
      </c>
      <c r="E117" s="69">
        <v>12000</v>
      </c>
      <c r="F117" s="70">
        <v>59420.28</v>
      </c>
      <c r="G117" s="71">
        <v>4.4000000000000003E-3</v>
      </c>
      <c r="H117" s="85">
        <v>6.5948999999999994E-2</v>
      </c>
      <c r="I117" s="66"/>
    </row>
    <row r="118" spans="1:9" ht="26">
      <c r="A118" s="67" t="s">
        <v>488</v>
      </c>
      <c r="B118" s="68" t="s">
        <v>489</v>
      </c>
      <c r="C118" s="65" t="s">
        <v>490</v>
      </c>
      <c r="D118" s="65" t="s">
        <v>478</v>
      </c>
      <c r="E118" s="69">
        <v>12000</v>
      </c>
      <c r="F118" s="70">
        <v>58486.02</v>
      </c>
      <c r="G118" s="71">
        <v>4.4000000000000003E-3</v>
      </c>
      <c r="H118" s="85">
        <v>7.2125999999999996E-2</v>
      </c>
      <c r="I118" s="66"/>
    </row>
    <row r="119" spans="1:9" ht="52">
      <c r="A119" s="67" t="s">
        <v>491</v>
      </c>
      <c r="B119" s="68" t="s">
        <v>492</v>
      </c>
      <c r="C119" s="65" t="s">
        <v>493</v>
      </c>
      <c r="D119" s="65" t="s">
        <v>494</v>
      </c>
      <c r="E119" s="69">
        <v>11500</v>
      </c>
      <c r="F119" s="70">
        <v>55922.55</v>
      </c>
      <c r="G119" s="71">
        <v>4.1999999999999997E-3</v>
      </c>
      <c r="H119" s="85">
        <v>7.1499999999999994E-2</v>
      </c>
      <c r="I119" s="66"/>
    </row>
    <row r="120" spans="1:9" ht="39">
      <c r="A120" s="67" t="s">
        <v>495</v>
      </c>
      <c r="B120" s="68" t="s">
        <v>496</v>
      </c>
      <c r="C120" s="65" t="s">
        <v>497</v>
      </c>
      <c r="D120" s="65" t="s">
        <v>478</v>
      </c>
      <c r="E120" s="69">
        <v>10000</v>
      </c>
      <c r="F120" s="70">
        <v>47938.45</v>
      </c>
      <c r="G120" s="71">
        <v>3.5999999999999999E-3</v>
      </c>
      <c r="H120" s="85">
        <v>7.1025000000000005E-2</v>
      </c>
      <c r="I120" s="66"/>
    </row>
    <row r="121" spans="1:9" ht="78">
      <c r="A121" s="67" t="s">
        <v>498</v>
      </c>
      <c r="B121" s="68" t="s">
        <v>499</v>
      </c>
      <c r="C121" s="65" t="s">
        <v>500</v>
      </c>
      <c r="D121" s="65" t="s">
        <v>478</v>
      </c>
      <c r="E121" s="69">
        <v>10000</v>
      </c>
      <c r="F121" s="70">
        <v>47834.7</v>
      </c>
      <c r="G121" s="71">
        <v>3.5999999999999999E-3</v>
      </c>
      <c r="H121" s="85">
        <v>7.2150000000000006E-2</v>
      </c>
      <c r="I121" s="66"/>
    </row>
    <row r="122" spans="1:9" ht="52">
      <c r="A122" s="67" t="s">
        <v>501</v>
      </c>
      <c r="B122" s="68" t="s">
        <v>502</v>
      </c>
      <c r="C122" s="65" t="s">
        <v>503</v>
      </c>
      <c r="D122" s="65" t="s">
        <v>478</v>
      </c>
      <c r="E122" s="69">
        <v>10000</v>
      </c>
      <c r="F122" s="70">
        <v>47062.3</v>
      </c>
      <c r="G122" s="71">
        <v>3.5000000000000001E-3</v>
      </c>
      <c r="H122" s="85">
        <v>7.1199999999999999E-2</v>
      </c>
      <c r="I122" s="66"/>
    </row>
    <row r="123" spans="1:9" ht="65">
      <c r="A123" s="67" t="s">
        <v>504</v>
      </c>
      <c r="B123" s="68" t="s">
        <v>505</v>
      </c>
      <c r="C123" s="65" t="s">
        <v>506</v>
      </c>
      <c r="D123" s="65" t="s">
        <v>478</v>
      </c>
      <c r="E123" s="69">
        <v>9500</v>
      </c>
      <c r="F123" s="70">
        <v>46634.41</v>
      </c>
      <c r="G123" s="71">
        <v>3.5000000000000001E-3</v>
      </c>
      <c r="H123" s="85">
        <v>7.2849999999999998E-2</v>
      </c>
      <c r="I123" s="66"/>
    </row>
    <row r="124" spans="1:9" ht="26">
      <c r="A124" s="67" t="s">
        <v>507</v>
      </c>
      <c r="B124" s="68" t="s">
        <v>508</v>
      </c>
      <c r="C124" s="65" t="s">
        <v>509</v>
      </c>
      <c r="D124" s="65" t="s">
        <v>478</v>
      </c>
      <c r="E124" s="69">
        <v>9000</v>
      </c>
      <c r="F124" s="70">
        <v>42363.05</v>
      </c>
      <c r="G124" s="71">
        <v>3.2000000000000002E-3</v>
      </c>
      <c r="H124" s="85">
        <v>7.0999999999999994E-2</v>
      </c>
      <c r="I124" s="66"/>
    </row>
    <row r="125" spans="1:9" ht="39">
      <c r="A125" s="67" t="s">
        <v>510</v>
      </c>
      <c r="B125" s="68" t="s">
        <v>511</v>
      </c>
      <c r="C125" s="65" t="s">
        <v>512</v>
      </c>
      <c r="D125" s="65" t="s">
        <v>478</v>
      </c>
      <c r="E125" s="69">
        <v>8000</v>
      </c>
      <c r="F125" s="70">
        <v>39659.360000000001</v>
      </c>
      <c r="G125" s="71">
        <v>3.0000000000000001E-3</v>
      </c>
      <c r="H125" s="85">
        <v>6.6702999999999998E-2</v>
      </c>
      <c r="I125" s="66"/>
    </row>
    <row r="126" spans="1:9" ht="39">
      <c r="A126" s="67" t="s">
        <v>513</v>
      </c>
      <c r="B126" s="68" t="s">
        <v>514</v>
      </c>
      <c r="C126" s="65" t="s">
        <v>515</v>
      </c>
      <c r="D126" s="65" t="s">
        <v>478</v>
      </c>
      <c r="E126" s="69">
        <v>8000</v>
      </c>
      <c r="F126" s="70">
        <v>38896.68</v>
      </c>
      <c r="G126" s="71">
        <v>2.8999999999999998E-3</v>
      </c>
      <c r="H126" s="85">
        <v>7.2400999999999993E-2</v>
      </c>
      <c r="I126" s="66"/>
    </row>
    <row r="127" spans="1:9" ht="26">
      <c r="A127" s="67" t="s">
        <v>516</v>
      </c>
      <c r="B127" s="68" t="s">
        <v>517</v>
      </c>
      <c r="C127" s="65" t="s">
        <v>518</v>
      </c>
      <c r="D127" s="65" t="s">
        <v>478</v>
      </c>
      <c r="E127" s="69">
        <v>8000</v>
      </c>
      <c r="F127" s="70">
        <v>37912.92</v>
      </c>
      <c r="G127" s="71">
        <v>2.8E-3</v>
      </c>
      <c r="H127" s="85">
        <v>7.0999999999999994E-2</v>
      </c>
      <c r="I127" s="66"/>
    </row>
    <row r="128" spans="1:9" ht="39">
      <c r="A128" s="67" t="s">
        <v>519</v>
      </c>
      <c r="B128" s="68" t="s">
        <v>520</v>
      </c>
      <c r="C128" s="65" t="s">
        <v>521</v>
      </c>
      <c r="D128" s="65" t="s">
        <v>494</v>
      </c>
      <c r="E128" s="69">
        <v>7000</v>
      </c>
      <c r="F128" s="70">
        <v>34121.85</v>
      </c>
      <c r="G128" s="71">
        <v>2.5000000000000001E-3</v>
      </c>
      <c r="H128" s="85">
        <v>7.1707999999999994E-2</v>
      </c>
      <c r="I128" s="66"/>
    </row>
    <row r="129" spans="1:9" ht="26">
      <c r="A129" s="67" t="s">
        <v>522</v>
      </c>
      <c r="B129" s="68" t="s">
        <v>523</v>
      </c>
      <c r="C129" s="65" t="s">
        <v>524</v>
      </c>
      <c r="D129" s="65" t="s">
        <v>478</v>
      </c>
      <c r="E129" s="69">
        <v>7000</v>
      </c>
      <c r="F129" s="70">
        <v>34112.720000000001</v>
      </c>
      <c r="G129" s="71">
        <v>2.5000000000000001E-3</v>
      </c>
      <c r="H129" s="85">
        <v>7.2472999999999996E-2</v>
      </c>
      <c r="I129" s="66"/>
    </row>
    <row r="130" spans="1:9" ht="52">
      <c r="A130" s="67" t="s">
        <v>525</v>
      </c>
      <c r="B130" s="68" t="s">
        <v>526</v>
      </c>
      <c r="C130" s="65" t="s">
        <v>527</v>
      </c>
      <c r="D130" s="65" t="s">
        <v>320</v>
      </c>
      <c r="E130" s="69">
        <v>6500</v>
      </c>
      <c r="F130" s="70">
        <v>31425.32</v>
      </c>
      <c r="G130" s="71">
        <v>2.3E-3</v>
      </c>
      <c r="H130" s="85">
        <v>7.2571999999999998E-2</v>
      </c>
      <c r="I130" s="66"/>
    </row>
    <row r="131" spans="1:9" ht="39">
      <c r="A131" s="67" t="s">
        <v>528</v>
      </c>
      <c r="B131" s="68" t="s">
        <v>529</v>
      </c>
      <c r="C131" s="65" t="s">
        <v>530</v>
      </c>
      <c r="D131" s="65" t="s">
        <v>478</v>
      </c>
      <c r="E131" s="69">
        <v>6000</v>
      </c>
      <c r="F131" s="70">
        <v>29239.41</v>
      </c>
      <c r="G131" s="71">
        <v>2.2000000000000001E-3</v>
      </c>
      <c r="H131" s="85">
        <v>7.3035000000000003E-2</v>
      </c>
      <c r="I131" s="66"/>
    </row>
    <row r="132" spans="1:9" ht="39">
      <c r="A132" s="67" t="s">
        <v>531</v>
      </c>
      <c r="B132" s="68" t="s">
        <v>532</v>
      </c>
      <c r="C132" s="65" t="s">
        <v>533</v>
      </c>
      <c r="D132" s="65" t="s">
        <v>478</v>
      </c>
      <c r="E132" s="69">
        <v>6000</v>
      </c>
      <c r="F132" s="70">
        <v>28980.51</v>
      </c>
      <c r="G132" s="71">
        <v>2.2000000000000001E-3</v>
      </c>
      <c r="H132" s="85">
        <v>7.2543999999999997E-2</v>
      </c>
      <c r="I132" s="66"/>
    </row>
    <row r="133" spans="1:9" ht="65">
      <c r="A133" s="67" t="s">
        <v>534</v>
      </c>
      <c r="B133" s="68" t="s">
        <v>535</v>
      </c>
      <c r="C133" s="65" t="s">
        <v>536</v>
      </c>
      <c r="D133" s="65" t="s">
        <v>478</v>
      </c>
      <c r="E133" s="69">
        <v>6000</v>
      </c>
      <c r="F133" s="70">
        <v>28670.94</v>
      </c>
      <c r="G133" s="71">
        <v>2.0999999999999999E-3</v>
      </c>
      <c r="H133" s="85">
        <v>7.1998999999999994E-2</v>
      </c>
      <c r="I133" s="66"/>
    </row>
    <row r="134" spans="1:9" ht="65">
      <c r="A134" s="67" t="s">
        <v>537</v>
      </c>
      <c r="B134" s="68" t="s">
        <v>538</v>
      </c>
      <c r="C134" s="65" t="s">
        <v>539</v>
      </c>
      <c r="D134" s="65" t="s">
        <v>478</v>
      </c>
      <c r="E134" s="69">
        <v>6000</v>
      </c>
      <c r="F134" s="70">
        <v>28551.57</v>
      </c>
      <c r="G134" s="71">
        <v>2.0999999999999999E-3</v>
      </c>
      <c r="H134" s="85">
        <v>7.2900000000000006E-2</v>
      </c>
      <c r="I134" s="66"/>
    </row>
    <row r="135" spans="1:9" ht="26">
      <c r="A135" s="67" t="s">
        <v>540</v>
      </c>
      <c r="B135" s="68" t="s">
        <v>541</v>
      </c>
      <c r="C135" s="65" t="s">
        <v>542</v>
      </c>
      <c r="D135" s="65" t="s">
        <v>478</v>
      </c>
      <c r="E135" s="69">
        <v>6000</v>
      </c>
      <c r="F135" s="70">
        <v>28487.7</v>
      </c>
      <c r="G135" s="71">
        <v>2.0999999999999999E-3</v>
      </c>
      <c r="H135" s="85">
        <v>7.1499999999999994E-2</v>
      </c>
      <c r="I135" s="66"/>
    </row>
    <row r="136" spans="1:9" ht="39">
      <c r="A136" s="67" t="s">
        <v>543</v>
      </c>
      <c r="B136" s="68" t="s">
        <v>544</v>
      </c>
      <c r="C136" s="65" t="s">
        <v>545</v>
      </c>
      <c r="D136" s="65" t="s">
        <v>494</v>
      </c>
      <c r="E136" s="69">
        <v>6000</v>
      </c>
      <c r="F136" s="70">
        <v>28099.05</v>
      </c>
      <c r="G136" s="71">
        <v>2.0999999999999999E-3</v>
      </c>
      <c r="H136" s="85">
        <v>7.0150000000000004E-2</v>
      </c>
      <c r="I136" s="66"/>
    </row>
    <row r="137" spans="1:9" ht="26">
      <c r="A137" s="67" t="s">
        <v>546</v>
      </c>
      <c r="B137" s="68" t="s">
        <v>547</v>
      </c>
      <c r="C137" s="65" t="s">
        <v>548</v>
      </c>
      <c r="D137" s="65" t="s">
        <v>478</v>
      </c>
      <c r="E137" s="69">
        <v>6000</v>
      </c>
      <c r="F137" s="70">
        <v>28092.87</v>
      </c>
      <c r="G137" s="71">
        <v>2.0999999999999999E-3</v>
      </c>
      <c r="H137" s="85">
        <v>6.9800000000000001E-2</v>
      </c>
      <c r="I137" s="66"/>
    </row>
    <row r="138" spans="1:9" ht="39">
      <c r="A138" s="67" t="s">
        <v>549</v>
      </c>
      <c r="B138" s="68" t="s">
        <v>550</v>
      </c>
      <c r="C138" s="65" t="s">
        <v>551</v>
      </c>
      <c r="D138" s="65" t="s">
        <v>494</v>
      </c>
      <c r="E138" s="69">
        <v>5000</v>
      </c>
      <c r="F138" s="70">
        <v>24796.35</v>
      </c>
      <c r="G138" s="71">
        <v>1.9E-3</v>
      </c>
      <c r="H138" s="85">
        <v>6.6615999999999995E-2</v>
      </c>
      <c r="I138" s="66"/>
    </row>
    <row r="139" spans="1:9" ht="39">
      <c r="A139" s="67" t="s">
        <v>552</v>
      </c>
      <c r="B139" s="68" t="s">
        <v>553</v>
      </c>
      <c r="C139" s="65" t="s">
        <v>554</v>
      </c>
      <c r="D139" s="65" t="s">
        <v>320</v>
      </c>
      <c r="E139" s="69">
        <v>5000</v>
      </c>
      <c r="F139" s="70">
        <v>23801.73</v>
      </c>
      <c r="G139" s="71">
        <v>1.8E-3</v>
      </c>
      <c r="H139" s="85">
        <v>7.1499999999999994E-2</v>
      </c>
      <c r="I139" s="66"/>
    </row>
    <row r="140" spans="1:9" ht="78">
      <c r="A140" s="67" t="s">
        <v>555</v>
      </c>
      <c r="B140" s="68" t="s">
        <v>556</v>
      </c>
      <c r="C140" s="65" t="s">
        <v>557</v>
      </c>
      <c r="D140" s="65" t="s">
        <v>494</v>
      </c>
      <c r="E140" s="69">
        <v>5000</v>
      </c>
      <c r="F140" s="70">
        <v>23377.3</v>
      </c>
      <c r="G140" s="71">
        <v>1.6999999999999999E-3</v>
      </c>
      <c r="H140" s="85">
        <v>7.1976999999999999E-2</v>
      </c>
      <c r="I140" s="66"/>
    </row>
    <row r="141" spans="1:9" ht="78">
      <c r="A141" s="67" t="s">
        <v>558</v>
      </c>
      <c r="B141" s="68" t="s">
        <v>559</v>
      </c>
      <c r="C141" s="65" t="s">
        <v>560</v>
      </c>
      <c r="D141" s="65" t="s">
        <v>478</v>
      </c>
      <c r="E141" s="69">
        <v>4500</v>
      </c>
      <c r="F141" s="70">
        <v>21058.99</v>
      </c>
      <c r="G141" s="71">
        <v>1.6000000000000001E-3</v>
      </c>
      <c r="H141" s="85">
        <v>7.1978E-2</v>
      </c>
      <c r="I141" s="66"/>
    </row>
    <row r="142" spans="1:9" ht="26">
      <c r="A142" s="67" t="s">
        <v>561</v>
      </c>
      <c r="B142" s="68" t="s">
        <v>562</v>
      </c>
      <c r="C142" s="65" t="s">
        <v>563</v>
      </c>
      <c r="D142" s="65" t="s">
        <v>478</v>
      </c>
      <c r="E142" s="69">
        <v>4000</v>
      </c>
      <c r="F142" s="70">
        <v>19880.8</v>
      </c>
      <c r="G142" s="71">
        <v>1.5E-3</v>
      </c>
      <c r="H142" s="85">
        <v>6.6316E-2</v>
      </c>
      <c r="I142" s="66"/>
    </row>
    <row r="143" spans="1:9" ht="26">
      <c r="A143" s="67" t="s">
        <v>564</v>
      </c>
      <c r="B143" s="68" t="s">
        <v>565</v>
      </c>
      <c r="C143" s="65" t="s">
        <v>566</v>
      </c>
      <c r="D143" s="65" t="s">
        <v>478</v>
      </c>
      <c r="E143" s="69">
        <v>4000</v>
      </c>
      <c r="F143" s="70">
        <v>19633.560000000001</v>
      </c>
      <c r="G143" s="71">
        <v>1.5E-3</v>
      </c>
      <c r="H143" s="85">
        <v>7.2471999999999995E-2</v>
      </c>
      <c r="I143" s="66"/>
    </row>
    <row r="144" spans="1:9" ht="52">
      <c r="A144" s="67" t="s">
        <v>567</v>
      </c>
      <c r="B144" s="68" t="s">
        <v>568</v>
      </c>
      <c r="C144" s="65" t="s">
        <v>569</v>
      </c>
      <c r="D144" s="65" t="s">
        <v>478</v>
      </c>
      <c r="E144" s="69">
        <v>4000</v>
      </c>
      <c r="F144" s="70">
        <v>19562.740000000002</v>
      </c>
      <c r="G144" s="71">
        <v>1.5E-3</v>
      </c>
      <c r="H144" s="85">
        <v>7.22E-2</v>
      </c>
      <c r="I144" s="66"/>
    </row>
    <row r="145" spans="1:9" ht="39">
      <c r="A145" s="67" t="s">
        <v>570</v>
      </c>
      <c r="B145" s="68" t="s">
        <v>571</v>
      </c>
      <c r="C145" s="65" t="s">
        <v>572</v>
      </c>
      <c r="D145" s="65" t="s">
        <v>573</v>
      </c>
      <c r="E145" s="69">
        <v>4000</v>
      </c>
      <c r="F145" s="70">
        <v>19493.48</v>
      </c>
      <c r="G145" s="71">
        <v>1.5E-3</v>
      </c>
      <c r="H145" s="85">
        <v>7.2400000000000006E-2</v>
      </c>
      <c r="I145" s="66"/>
    </row>
    <row r="146" spans="1:9" ht="39">
      <c r="A146" s="67" t="s">
        <v>574</v>
      </c>
      <c r="B146" s="68" t="s">
        <v>575</v>
      </c>
      <c r="C146" s="65" t="s">
        <v>576</v>
      </c>
      <c r="D146" s="65" t="s">
        <v>478</v>
      </c>
      <c r="E146" s="69">
        <v>4000</v>
      </c>
      <c r="F146" s="70">
        <v>19489.14</v>
      </c>
      <c r="G146" s="71">
        <v>1.5E-3</v>
      </c>
      <c r="H146" s="85">
        <v>7.3036000000000004E-2</v>
      </c>
      <c r="I146" s="66"/>
    </row>
    <row r="147" spans="1:9" ht="39">
      <c r="A147" s="67" t="s">
        <v>577</v>
      </c>
      <c r="B147" s="68" t="s">
        <v>578</v>
      </c>
      <c r="C147" s="65" t="s">
        <v>579</v>
      </c>
      <c r="D147" s="65" t="s">
        <v>320</v>
      </c>
      <c r="E147" s="69">
        <v>4000</v>
      </c>
      <c r="F147" s="70">
        <v>18834.52</v>
      </c>
      <c r="G147" s="71">
        <v>1.4E-3</v>
      </c>
      <c r="H147" s="85">
        <v>7.1249999999999994E-2</v>
      </c>
      <c r="I147" s="66"/>
    </row>
    <row r="148" spans="1:9" ht="39">
      <c r="A148" s="67" t="s">
        <v>580</v>
      </c>
      <c r="B148" s="68" t="s">
        <v>581</v>
      </c>
      <c r="C148" s="65" t="s">
        <v>582</v>
      </c>
      <c r="D148" s="65" t="s">
        <v>478</v>
      </c>
      <c r="E148" s="69">
        <v>4000</v>
      </c>
      <c r="F148" s="70">
        <v>18834.52</v>
      </c>
      <c r="G148" s="71">
        <v>1.4E-3</v>
      </c>
      <c r="H148" s="85">
        <v>7.1249999999999994E-2</v>
      </c>
      <c r="I148" s="66"/>
    </row>
    <row r="149" spans="1:9" ht="52">
      <c r="A149" s="67" t="s">
        <v>583</v>
      </c>
      <c r="B149" s="68" t="s">
        <v>584</v>
      </c>
      <c r="C149" s="65" t="s">
        <v>585</v>
      </c>
      <c r="D149" s="65" t="s">
        <v>478</v>
      </c>
      <c r="E149" s="69">
        <v>4000</v>
      </c>
      <c r="F149" s="70">
        <v>18774</v>
      </c>
      <c r="G149" s="71">
        <v>1.4E-3</v>
      </c>
      <c r="H149" s="85">
        <v>6.9900000000000004E-2</v>
      </c>
      <c r="I149" s="66"/>
    </row>
    <row r="150" spans="1:9" ht="26">
      <c r="A150" s="67" t="s">
        <v>586</v>
      </c>
      <c r="B150" s="68" t="s">
        <v>587</v>
      </c>
      <c r="C150" s="65" t="s">
        <v>588</v>
      </c>
      <c r="D150" s="65" t="s">
        <v>478</v>
      </c>
      <c r="E150" s="69">
        <v>4000</v>
      </c>
      <c r="F150" s="70">
        <v>18756.34</v>
      </c>
      <c r="G150" s="71">
        <v>1.4E-3</v>
      </c>
      <c r="H150" s="85">
        <v>7.0150000000000004E-2</v>
      </c>
      <c r="I150" s="66"/>
    </row>
    <row r="151" spans="1:9" ht="52">
      <c r="A151" s="67" t="s">
        <v>589</v>
      </c>
      <c r="B151" s="68" t="s">
        <v>590</v>
      </c>
      <c r="C151" s="65" t="s">
        <v>591</v>
      </c>
      <c r="D151" s="65" t="s">
        <v>478</v>
      </c>
      <c r="E151" s="69">
        <v>4000</v>
      </c>
      <c r="F151" s="70">
        <v>18748.740000000002</v>
      </c>
      <c r="G151" s="71">
        <v>1.4E-3</v>
      </c>
      <c r="H151" s="85">
        <v>7.0199999999999999E-2</v>
      </c>
      <c r="I151" s="66"/>
    </row>
    <row r="152" spans="1:9" ht="39">
      <c r="A152" s="67" t="s">
        <v>592</v>
      </c>
      <c r="B152" s="68" t="s">
        <v>593</v>
      </c>
      <c r="C152" s="65" t="s">
        <v>594</v>
      </c>
      <c r="D152" s="65" t="s">
        <v>494</v>
      </c>
      <c r="E152" s="69">
        <v>4000</v>
      </c>
      <c r="F152" s="70">
        <v>18710.080000000002</v>
      </c>
      <c r="G152" s="71">
        <v>1.4E-3</v>
      </c>
      <c r="H152" s="85">
        <v>6.9900000000000004E-2</v>
      </c>
      <c r="I152" s="66"/>
    </row>
    <row r="153" spans="1:9" ht="39">
      <c r="A153" s="67" t="s">
        <v>595</v>
      </c>
      <c r="B153" s="68" t="s">
        <v>596</v>
      </c>
      <c r="C153" s="65" t="s">
        <v>597</v>
      </c>
      <c r="D153" s="65" t="s">
        <v>478</v>
      </c>
      <c r="E153" s="69">
        <v>3500</v>
      </c>
      <c r="F153" s="70">
        <v>17338.41</v>
      </c>
      <c r="G153" s="71">
        <v>1.2999999999999999E-3</v>
      </c>
      <c r="H153" s="85">
        <v>6.6701999999999997E-2</v>
      </c>
      <c r="I153" s="66"/>
    </row>
    <row r="154" spans="1:9" ht="52">
      <c r="A154" s="67" t="s">
        <v>598</v>
      </c>
      <c r="B154" s="68" t="s">
        <v>599</v>
      </c>
      <c r="C154" s="65" t="s">
        <v>600</v>
      </c>
      <c r="D154" s="65" t="s">
        <v>478</v>
      </c>
      <c r="E154" s="69">
        <v>3500</v>
      </c>
      <c r="F154" s="70">
        <v>17337.689999999999</v>
      </c>
      <c r="G154" s="71">
        <v>1.2999999999999999E-3</v>
      </c>
      <c r="H154" s="85">
        <v>6.7000000000000004E-2</v>
      </c>
      <c r="I154" s="66"/>
    </row>
    <row r="155" spans="1:9" ht="39">
      <c r="A155" s="67" t="s">
        <v>601</v>
      </c>
      <c r="B155" s="68" t="s">
        <v>602</v>
      </c>
      <c r="C155" s="65" t="s">
        <v>603</v>
      </c>
      <c r="D155" s="65" t="s">
        <v>478</v>
      </c>
      <c r="E155" s="69">
        <v>3500</v>
      </c>
      <c r="F155" s="70">
        <v>17009.88</v>
      </c>
      <c r="G155" s="71">
        <v>1.2999999999999999E-3</v>
      </c>
      <c r="H155" s="85">
        <v>7.3037000000000005E-2</v>
      </c>
      <c r="I155" s="66"/>
    </row>
    <row r="156" spans="1:9" ht="39">
      <c r="A156" s="67" t="s">
        <v>604</v>
      </c>
      <c r="B156" s="68" t="s">
        <v>605</v>
      </c>
      <c r="C156" s="65" t="s">
        <v>606</v>
      </c>
      <c r="D156" s="65" t="s">
        <v>320</v>
      </c>
      <c r="E156" s="69">
        <v>3500</v>
      </c>
      <c r="F156" s="70">
        <v>16541.02</v>
      </c>
      <c r="G156" s="71">
        <v>1.1999999999999999E-3</v>
      </c>
      <c r="H156" s="85">
        <v>7.1249999999999994E-2</v>
      </c>
      <c r="I156" s="66"/>
    </row>
    <row r="157" spans="1:9" ht="65">
      <c r="A157" s="67" t="s">
        <v>607</v>
      </c>
      <c r="B157" s="68" t="s">
        <v>608</v>
      </c>
      <c r="C157" s="65" t="s">
        <v>609</v>
      </c>
      <c r="D157" s="65" t="s">
        <v>573</v>
      </c>
      <c r="E157" s="69">
        <v>3500</v>
      </c>
      <c r="F157" s="70">
        <v>16458.28</v>
      </c>
      <c r="G157" s="71">
        <v>1.1999999999999999E-3</v>
      </c>
      <c r="H157" s="85">
        <v>7.2650000000000006E-2</v>
      </c>
      <c r="I157" s="66"/>
    </row>
    <row r="158" spans="1:9" ht="39">
      <c r="A158" s="67" t="s">
        <v>610</v>
      </c>
      <c r="B158" s="68" t="s">
        <v>611</v>
      </c>
      <c r="C158" s="65" t="s">
        <v>612</v>
      </c>
      <c r="D158" s="65" t="s">
        <v>320</v>
      </c>
      <c r="E158" s="69">
        <v>3000</v>
      </c>
      <c r="F158" s="70">
        <v>14763.71</v>
      </c>
      <c r="G158" s="71">
        <v>1.1000000000000001E-3</v>
      </c>
      <c r="H158" s="85">
        <v>7.2123999999999994E-2</v>
      </c>
      <c r="I158" s="66"/>
    </row>
    <row r="159" spans="1:9" ht="39">
      <c r="A159" s="67" t="s">
        <v>613</v>
      </c>
      <c r="B159" s="68" t="s">
        <v>614</v>
      </c>
      <c r="C159" s="65" t="s">
        <v>615</v>
      </c>
      <c r="D159" s="65" t="s">
        <v>478</v>
      </c>
      <c r="E159" s="69">
        <v>3000</v>
      </c>
      <c r="F159" s="70">
        <v>14620.37</v>
      </c>
      <c r="G159" s="71">
        <v>1.1000000000000001E-3</v>
      </c>
      <c r="H159" s="85">
        <v>7.2349999999999998E-2</v>
      </c>
      <c r="I159" s="66"/>
    </row>
    <row r="160" spans="1:9" ht="65">
      <c r="A160" s="67" t="s">
        <v>616</v>
      </c>
      <c r="B160" s="68" t="s">
        <v>617</v>
      </c>
      <c r="C160" s="65" t="s">
        <v>618</v>
      </c>
      <c r="D160" s="65" t="s">
        <v>573</v>
      </c>
      <c r="E160" s="69">
        <v>3000</v>
      </c>
      <c r="F160" s="70">
        <v>14539.92</v>
      </c>
      <c r="G160" s="71">
        <v>1.1000000000000001E-3</v>
      </c>
      <c r="H160" s="85">
        <v>7.3099999999999998E-2</v>
      </c>
      <c r="I160" s="66"/>
    </row>
    <row r="161" spans="1:9" ht="91">
      <c r="A161" s="67" t="s">
        <v>619</v>
      </c>
      <c r="B161" s="68" t="s">
        <v>620</v>
      </c>
      <c r="C161" s="65" t="s">
        <v>621</v>
      </c>
      <c r="D161" s="65" t="s">
        <v>494</v>
      </c>
      <c r="E161" s="69">
        <v>3000</v>
      </c>
      <c r="F161" s="70">
        <v>14018.93</v>
      </c>
      <c r="G161" s="71">
        <v>1E-3</v>
      </c>
      <c r="H161" s="85">
        <v>7.1954000000000004E-2</v>
      </c>
      <c r="I161" s="66"/>
    </row>
    <row r="162" spans="1:9" ht="78">
      <c r="A162" s="67" t="s">
        <v>622</v>
      </c>
      <c r="B162" s="68" t="s">
        <v>623</v>
      </c>
      <c r="C162" s="65" t="s">
        <v>624</v>
      </c>
      <c r="D162" s="65" t="s">
        <v>478</v>
      </c>
      <c r="E162" s="69">
        <v>3000</v>
      </c>
      <c r="F162" s="70">
        <v>14003.15</v>
      </c>
      <c r="G162" s="71">
        <v>1E-3</v>
      </c>
      <c r="H162" s="85">
        <v>7.1976999999999999E-2</v>
      </c>
      <c r="I162" s="66"/>
    </row>
    <row r="163" spans="1:9" ht="39">
      <c r="A163" s="67" t="s">
        <v>625</v>
      </c>
      <c r="B163" s="68" t="s">
        <v>626</v>
      </c>
      <c r="C163" s="65" t="s">
        <v>627</v>
      </c>
      <c r="D163" s="65" t="s">
        <v>478</v>
      </c>
      <c r="E163" s="69">
        <v>2500</v>
      </c>
      <c r="F163" s="70">
        <v>12240.21</v>
      </c>
      <c r="G163" s="71">
        <v>8.9999999999999998E-4</v>
      </c>
      <c r="H163" s="85">
        <v>7.2400000000000006E-2</v>
      </c>
      <c r="I163" s="66"/>
    </row>
    <row r="164" spans="1:9" ht="52">
      <c r="A164" s="67" t="s">
        <v>628</v>
      </c>
      <c r="B164" s="68" t="s">
        <v>629</v>
      </c>
      <c r="C164" s="65" t="s">
        <v>630</v>
      </c>
      <c r="D164" s="65" t="s">
        <v>320</v>
      </c>
      <c r="E164" s="69">
        <v>2000</v>
      </c>
      <c r="F164" s="70">
        <v>9781.36</v>
      </c>
      <c r="G164" s="71">
        <v>6.9999999999999999E-4</v>
      </c>
      <c r="H164" s="85">
        <v>7.22E-2</v>
      </c>
      <c r="I164" s="66"/>
    </row>
    <row r="165" spans="1:9" ht="39">
      <c r="A165" s="67" t="s">
        <v>631</v>
      </c>
      <c r="B165" s="68" t="s">
        <v>632</v>
      </c>
      <c r="C165" s="65" t="s">
        <v>633</v>
      </c>
      <c r="D165" s="65" t="s">
        <v>478</v>
      </c>
      <c r="E165" s="69">
        <v>2000</v>
      </c>
      <c r="F165" s="70">
        <v>9637.73</v>
      </c>
      <c r="G165" s="71">
        <v>6.9999999999999999E-4</v>
      </c>
      <c r="H165" s="85">
        <v>7.2210999999999997E-2</v>
      </c>
      <c r="I165" s="66"/>
    </row>
    <row r="166" spans="1:9" ht="39">
      <c r="A166" s="67" t="s">
        <v>634</v>
      </c>
      <c r="B166" s="68" t="s">
        <v>635</v>
      </c>
      <c r="C166" s="65" t="s">
        <v>636</v>
      </c>
      <c r="D166" s="65" t="s">
        <v>478</v>
      </c>
      <c r="E166" s="69">
        <v>2000</v>
      </c>
      <c r="F166" s="70">
        <v>9568.0499999999993</v>
      </c>
      <c r="G166" s="71">
        <v>6.9999999999999999E-4</v>
      </c>
      <c r="H166" s="85">
        <v>7.1026000000000006E-2</v>
      </c>
      <c r="I166" s="66"/>
    </row>
    <row r="167" spans="1:9" ht="39">
      <c r="A167" s="67" t="s">
        <v>637</v>
      </c>
      <c r="B167" s="68" t="s">
        <v>638</v>
      </c>
      <c r="C167" s="65" t="s">
        <v>639</v>
      </c>
      <c r="D167" s="65" t="s">
        <v>478</v>
      </c>
      <c r="E167" s="69">
        <v>2000</v>
      </c>
      <c r="F167" s="70">
        <v>9472.99</v>
      </c>
      <c r="G167" s="71">
        <v>6.9999999999999999E-4</v>
      </c>
      <c r="H167" s="85">
        <v>7.1249999999999994E-2</v>
      </c>
      <c r="I167" s="66"/>
    </row>
    <row r="168" spans="1:9" ht="78">
      <c r="A168" s="67" t="s">
        <v>640</v>
      </c>
      <c r="B168" s="68" t="s">
        <v>641</v>
      </c>
      <c r="C168" s="65" t="s">
        <v>642</v>
      </c>
      <c r="D168" s="65" t="s">
        <v>573</v>
      </c>
      <c r="E168" s="69">
        <v>2000</v>
      </c>
      <c r="F168" s="70">
        <v>9468.02</v>
      </c>
      <c r="G168" s="71">
        <v>6.9999999999999999E-4</v>
      </c>
      <c r="H168" s="85">
        <v>7.2724999999999998E-2</v>
      </c>
      <c r="I168" s="66"/>
    </row>
    <row r="169" spans="1:9" ht="52">
      <c r="A169" s="67" t="s">
        <v>643</v>
      </c>
      <c r="B169" s="68" t="s">
        <v>644</v>
      </c>
      <c r="C169" s="65" t="s">
        <v>645</v>
      </c>
      <c r="D169" s="65" t="s">
        <v>478</v>
      </c>
      <c r="E169" s="69">
        <v>2000</v>
      </c>
      <c r="F169" s="70">
        <v>9358.31</v>
      </c>
      <c r="G169" s="71">
        <v>6.9999999999999999E-4</v>
      </c>
      <c r="H169" s="85">
        <v>7.0499999999999993E-2</v>
      </c>
      <c r="I169" s="66"/>
    </row>
    <row r="170" spans="1:9" ht="39">
      <c r="A170" s="67" t="s">
        <v>646</v>
      </c>
      <c r="B170" s="68" t="s">
        <v>647</v>
      </c>
      <c r="C170" s="65" t="s">
        <v>648</v>
      </c>
      <c r="D170" s="65" t="s">
        <v>478</v>
      </c>
      <c r="E170" s="69">
        <v>1500</v>
      </c>
      <c r="F170" s="70">
        <v>7466.94</v>
      </c>
      <c r="G170" s="71">
        <v>5.9999999999999995E-4</v>
      </c>
      <c r="H170" s="85">
        <v>6.4648999999999998E-2</v>
      </c>
      <c r="I170" s="66"/>
    </row>
    <row r="171" spans="1:9" ht="52">
      <c r="A171" s="67" t="s">
        <v>649</v>
      </c>
      <c r="B171" s="68" t="s">
        <v>650</v>
      </c>
      <c r="C171" s="65" t="s">
        <v>651</v>
      </c>
      <c r="D171" s="65" t="s">
        <v>478</v>
      </c>
      <c r="E171" s="69">
        <v>1500</v>
      </c>
      <c r="F171" s="70">
        <v>7438.82</v>
      </c>
      <c r="G171" s="71">
        <v>5.9999999999999995E-4</v>
      </c>
      <c r="H171" s="85">
        <v>6.6702999999999998E-2</v>
      </c>
      <c r="I171" s="66"/>
    </row>
    <row r="172" spans="1:9" ht="39">
      <c r="A172" s="67" t="s">
        <v>652</v>
      </c>
      <c r="B172" s="68" t="s">
        <v>653</v>
      </c>
      <c r="C172" s="65" t="s">
        <v>654</v>
      </c>
      <c r="D172" s="65" t="s">
        <v>478</v>
      </c>
      <c r="E172" s="69">
        <v>1000</v>
      </c>
      <c r="F172" s="70">
        <v>4723.72</v>
      </c>
      <c r="G172" s="71">
        <v>4.0000000000000002E-4</v>
      </c>
      <c r="H172" s="85">
        <v>7.1400000000000005E-2</v>
      </c>
      <c r="I172" s="66"/>
    </row>
    <row r="173" spans="1:9">
      <c r="A173" s="57"/>
      <c r="B173" s="30" t="s">
        <v>90</v>
      </c>
      <c r="C173" s="31"/>
      <c r="D173" s="31"/>
      <c r="E173" s="31"/>
      <c r="F173" s="72">
        <v>1563274.24</v>
      </c>
      <c r="G173" s="73">
        <v>0.1168</v>
      </c>
      <c r="H173" s="39"/>
      <c r="I173" s="39"/>
    </row>
    <row r="174" spans="1:9" ht="26">
      <c r="A174" s="57"/>
      <c r="B174" s="64" t="s">
        <v>655</v>
      </c>
      <c r="C174" s="65"/>
      <c r="D174" s="65"/>
      <c r="E174" s="65"/>
      <c r="F174" s="57"/>
      <c r="G174" s="66"/>
      <c r="H174" s="66"/>
      <c r="I174" s="66"/>
    </row>
    <row r="175" spans="1:9" ht="78">
      <c r="A175" s="67" t="s">
        <v>656</v>
      </c>
      <c r="B175" s="68" t="s">
        <v>657</v>
      </c>
      <c r="C175" s="65" t="s">
        <v>658</v>
      </c>
      <c r="D175" s="65" t="s">
        <v>478</v>
      </c>
      <c r="E175" s="69">
        <v>9000</v>
      </c>
      <c r="F175" s="70">
        <v>43741.98</v>
      </c>
      <c r="G175" s="71">
        <v>3.3E-3</v>
      </c>
      <c r="H175" s="85">
        <v>7.2900000000000006E-2</v>
      </c>
      <c r="I175" s="66"/>
    </row>
    <row r="176" spans="1:9" ht="39">
      <c r="A176" s="67" t="s">
        <v>659</v>
      </c>
      <c r="B176" s="68" t="s">
        <v>660</v>
      </c>
      <c r="C176" s="65" t="s">
        <v>661</v>
      </c>
      <c r="D176" s="65" t="s">
        <v>478</v>
      </c>
      <c r="E176" s="69">
        <v>6000</v>
      </c>
      <c r="F176" s="70">
        <v>29149.35</v>
      </c>
      <c r="G176" s="71">
        <v>2.2000000000000001E-3</v>
      </c>
      <c r="H176" s="85">
        <v>7.775E-2</v>
      </c>
      <c r="I176" s="66"/>
    </row>
    <row r="177" spans="1:9" ht="39">
      <c r="A177" s="67" t="s">
        <v>662</v>
      </c>
      <c r="B177" s="68" t="s">
        <v>663</v>
      </c>
      <c r="C177" s="65" t="s">
        <v>664</v>
      </c>
      <c r="D177" s="65" t="s">
        <v>478</v>
      </c>
      <c r="E177" s="69">
        <v>4000</v>
      </c>
      <c r="F177" s="70">
        <v>19607.400000000001</v>
      </c>
      <c r="G177" s="71">
        <v>1.5E-3</v>
      </c>
      <c r="H177" s="85">
        <v>7.7748999999999999E-2</v>
      </c>
      <c r="I177" s="66"/>
    </row>
    <row r="178" spans="1:9" ht="39">
      <c r="A178" s="67" t="s">
        <v>665</v>
      </c>
      <c r="B178" s="68" t="s">
        <v>666</v>
      </c>
      <c r="C178" s="65" t="s">
        <v>667</v>
      </c>
      <c r="D178" s="65" t="s">
        <v>478</v>
      </c>
      <c r="E178" s="69">
        <v>4000</v>
      </c>
      <c r="F178" s="70">
        <v>19525.84</v>
      </c>
      <c r="G178" s="71">
        <v>1.5E-3</v>
      </c>
      <c r="H178" s="85">
        <v>7.7751000000000001E-2</v>
      </c>
      <c r="I178" s="66"/>
    </row>
    <row r="179" spans="1:9" ht="52">
      <c r="A179" s="67" t="s">
        <v>668</v>
      </c>
      <c r="B179" s="68" t="s">
        <v>669</v>
      </c>
      <c r="C179" s="65" t="s">
        <v>670</v>
      </c>
      <c r="D179" s="65" t="s">
        <v>478</v>
      </c>
      <c r="E179" s="69">
        <v>2500</v>
      </c>
      <c r="F179" s="70">
        <v>12146.6</v>
      </c>
      <c r="G179" s="71">
        <v>8.9999999999999998E-4</v>
      </c>
      <c r="H179" s="85">
        <v>7.9250000000000001E-2</v>
      </c>
      <c r="I179" s="66"/>
    </row>
    <row r="180" spans="1:9" ht="52">
      <c r="A180" s="67" t="s">
        <v>671</v>
      </c>
      <c r="B180" s="68" t="s">
        <v>672</v>
      </c>
      <c r="C180" s="65" t="s">
        <v>673</v>
      </c>
      <c r="D180" s="65" t="s">
        <v>494</v>
      </c>
      <c r="E180" s="69">
        <v>2000</v>
      </c>
      <c r="F180" s="70">
        <v>9976.76</v>
      </c>
      <c r="G180" s="71">
        <v>6.9999999999999999E-4</v>
      </c>
      <c r="H180" s="85">
        <v>7.0852999999999999E-2</v>
      </c>
      <c r="I180" s="66"/>
    </row>
    <row r="181" spans="1:9" ht="39">
      <c r="A181" s="67" t="s">
        <v>674</v>
      </c>
      <c r="B181" s="68" t="s">
        <v>675</v>
      </c>
      <c r="C181" s="65" t="s">
        <v>676</v>
      </c>
      <c r="D181" s="65" t="s">
        <v>478</v>
      </c>
      <c r="E181" s="69">
        <v>2000</v>
      </c>
      <c r="F181" s="70">
        <v>9801.65</v>
      </c>
      <c r="G181" s="71">
        <v>6.9999999999999999E-4</v>
      </c>
      <c r="H181" s="85">
        <v>7.775E-2</v>
      </c>
      <c r="I181" s="66"/>
    </row>
    <row r="182" spans="1:9">
      <c r="A182" s="57"/>
      <c r="B182" s="30" t="s">
        <v>90</v>
      </c>
      <c r="C182" s="31"/>
      <c r="D182" s="31"/>
      <c r="E182" s="31"/>
      <c r="F182" s="72">
        <v>143949.57999999999</v>
      </c>
      <c r="G182" s="73">
        <v>1.0800000000000001E-2</v>
      </c>
      <c r="H182" s="39"/>
      <c r="I182" s="39"/>
    </row>
    <row r="183" spans="1:9">
      <c r="A183" s="57"/>
      <c r="B183" s="64" t="s">
        <v>677</v>
      </c>
      <c r="C183" s="65"/>
      <c r="D183" s="65"/>
      <c r="E183" s="65"/>
      <c r="F183" s="57"/>
      <c r="G183" s="66"/>
      <c r="H183" s="66"/>
      <c r="I183" s="66"/>
    </row>
    <row r="184" spans="1:9" ht="39">
      <c r="A184" s="67" t="s">
        <v>678</v>
      </c>
      <c r="B184" s="68" t="s">
        <v>679</v>
      </c>
      <c r="C184" s="65" t="s">
        <v>680</v>
      </c>
      <c r="D184" s="65" t="s">
        <v>681</v>
      </c>
      <c r="E184" s="69">
        <v>35000000</v>
      </c>
      <c r="F184" s="70">
        <v>33671.370000000003</v>
      </c>
      <c r="G184" s="71">
        <v>2.5000000000000001E-3</v>
      </c>
      <c r="H184" s="85">
        <v>5.6259999999999998E-2</v>
      </c>
      <c r="I184" s="66"/>
    </row>
    <row r="185" spans="1:9" ht="39">
      <c r="A185" s="67" t="s">
        <v>682</v>
      </c>
      <c r="B185" s="68" t="s">
        <v>683</v>
      </c>
      <c r="C185" s="65" t="s">
        <v>684</v>
      </c>
      <c r="D185" s="65" t="s">
        <v>681</v>
      </c>
      <c r="E185" s="69">
        <v>20500000</v>
      </c>
      <c r="F185" s="70">
        <v>19443.349999999999</v>
      </c>
      <c r="G185" s="71">
        <v>1.5E-3</v>
      </c>
      <c r="H185" s="85">
        <v>5.7000000000000002E-2</v>
      </c>
      <c r="I185" s="66"/>
    </row>
    <row r="186" spans="1:9" ht="39">
      <c r="A186" s="67" t="s">
        <v>685</v>
      </c>
      <c r="B186" s="68" t="s">
        <v>686</v>
      </c>
      <c r="C186" s="65" t="s">
        <v>687</v>
      </c>
      <c r="D186" s="65" t="s">
        <v>681</v>
      </c>
      <c r="E186" s="69">
        <v>11000000</v>
      </c>
      <c r="F186" s="70">
        <v>10704.94</v>
      </c>
      <c r="G186" s="71">
        <v>8.0000000000000004E-4</v>
      </c>
      <c r="H186" s="85">
        <v>5.6204999999999998E-2</v>
      </c>
      <c r="I186" s="66"/>
    </row>
    <row r="187" spans="1:9" ht="39">
      <c r="A187" s="67" t="s">
        <v>688</v>
      </c>
      <c r="B187" s="68" t="s">
        <v>689</v>
      </c>
      <c r="C187" s="65" t="s">
        <v>690</v>
      </c>
      <c r="D187" s="65" t="s">
        <v>681</v>
      </c>
      <c r="E187" s="69">
        <v>10000000</v>
      </c>
      <c r="F187" s="70">
        <v>9890.67</v>
      </c>
      <c r="G187" s="71">
        <v>6.9999999999999999E-4</v>
      </c>
      <c r="H187" s="85">
        <v>5.4524999999999997E-2</v>
      </c>
      <c r="I187" s="66"/>
    </row>
    <row r="188" spans="1:9">
      <c r="A188" s="57"/>
      <c r="B188" s="30" t="s">
        <v>90</v>
      </c>
      <c r="C188" s="31"/>
      <c r="D188" s="31"/>
      <c r="E188" s="31"/>
      <c r="F188" s="72">
        <v>73710.33</v>
      </c>
      <c r="G188" s="73">
        <v>5.4999999999999997E-3</v>
      </c>
      <c r="H188" s="39"/>
      <c r="I188" s="39"/>
    </row>
    <row r="189" spans="1:9">
      <c r="A189" s="57"/>
      <c r="B189" s="30" t="s">
        <v>91</v>
      </c>
      <c r="C189" s="84"/>
      <c r="D189" s="31"/>
      <c r="E189" s="84"/>
      <c r="F189" s="72">
        <v>1780934.15</v>
      </c>
      <c r="G189" s="73">
        <v>0.1331</v>
      </c>
      <c r="H189" s="39"/>
      <c r="I189" s="39"/>
    </row>
    <row r="190" spans="1:9">
      <c r="A190" s="57"/>
      <c r="B190" s="64" t="s">
        <v>180</v>
      </c>
      <c r="C190" s="65"/>
      <c r="D190" s="65"/>
      <c r="E190" s="65"/>
      <c r="F190" s="65"/>
      <c r="G190" s="65"/>
      <c r="H190" s="66"/>
      <c r="I190" s="66"/>
    </row>
    <row r="191" spans="1:9" ht="26">
      <c r="A191" s="57"/>
      <c r="B191" s="64" t="s">
        <v>691</v>
      </c>
      <c r="C191" s="65"/>
      <c r="D191" s="65"/>
      <c r="E191" s="65"/>
      <c r="F191" s="57"/>
      <c r="G191" s="66"/>
      <c r="H191" s="66"/>
      <c r="I191" s="66"/>
    </row>
    <row r="192" spans="1:9" ht="52">
      <c r="A192" s="67" t="s">
        <v>692</v>
      </c>
      <c r="B192" s="68" t="s">
        <v>693</v>
      </c>
      <c r="C192" s="65" t="s">
        <v>694</v>
      </c>
      <c r="D192" s="65" t="s">
        <v>695</v>
      </c>
      <c r="E192" s="69">
        <v>3969929.9980000001</v>
      </c>
      <c r="F192" s="70">
        <v>59855.32</v>
      </c>
      <c r="G192" s="71">
        <v>4.4999999999999997E-3</v>
      </c>
      <c r="H192" s="85"/>
      <c r="I192" s="66"/>
    </row>
    <row r="193" spans="1:9">
      <c r="A193" s="57"/>
      <c r="B193" s="30" t="s">
        <v>90</v>
      </c>
      <c r="C193" s="31"/>
      <c r="D193" s="31"/>
      <c r="E193" s="31"/>
      <c r="F193" s="72">
        <v>59855.32</v>
      </c>
      <c r="G193" s="73">
        <v>4.4999999999999997E-3</v>
      </c>
      <c r="H193" s="39"/>
      <c r="I193" s="39"/>
    </row>
    <row r="194" spans="1:9">
      <c r="A194" s="57"/>
      <c r="B194" s="30" t="s">
        <v>91</v>
      </c>
      <c r="C194" s="84"/>
      <c r="D194" s="31"/>
      <c r="E194" s="84"/>
      <c r="F194" s="72">
        <v>59855.32</v>
      </c>
      <c r="G194" s="73">
        <v>4.4999999999999997E-3</v>
      </c>
      <c r="H194" s="39"/>
      <c r="I194" s="39"/>
    </row>
    <row r="195" spans="1:9" ht="39">
      <c r="A195" s="57"/>
      <c r="B195" s="64" t="s">
        <v>696</v>
      </c>
      <c r="C195" s="65"/>
      <c r="D195" s="65"/>
      <c r="E195" s="65"/>
      <c r="F195" s="65"/>
      <c r="G195" s="65"/>
      <c r="H195" s="66"/>
      <c r="I195" s="66"/>
    </row>
    <row r="196" spans="1:9">
      <c r="A196" s="67" t="s">
        <v>697</v>
      </c>
      <c r="B196" s="68" t="s">
        <v>697</v>
      </c>
      <c r="C196" s="65"/>
      <c r="D196" s="65" t="s">
        <v>695</v>
      </c>
      <c r="E196" s="69"/>
      <c r="F196" s="70">
        <v>701000.71</v>
      </c>
      <c r="G196" s="71">
        <v>5.2299999999999999E-2</v>
      </c>
      <c r="H196" s="85">
        <v>5.1700399612374048E-2</v>
      </c>
      <c r="I196" s="66"/>
    </row>
    <row r="197" spans="1:9">
      <c r="A197" s="57"/>
      <c r="B197" s="30" t="s">
        <v>90</v>
      </c>
      <c r="C197" s="31"/>
      <c r="D197" s="31"/>
      <c r="E197" s="31"/>
      <c r="F197" s="72">
        <v>701000.71</v>
      </c>
      <c r="G197" s="73">
        <v>5.2299999999999999E-2</v>
      </c>
      <c r="H197" s="39"/>
      <c r="I197" s="39"/>
    </row>
    <row r="198" spans="1:9">
      <c r="A198" s="57"/>
      <c r="B198" s="30" t="s">
        <v>91</v>
      </c>
      <c r="C198" s="84"/>
      <c r="D198" s="31"/>
      <c r="E198" s="84"/>
      <c r="F198" s="72">
        <v>701000.71</v>
      </c>
      <c r="G198" s="73">
        <v>5.2299999999999999E-2</v>
      </c>
      <c r="H198" s="39"/>
      <c r="I198" s="39"/>
    </row>
    <row r="199" spans="1:9" ht="39">
      <c r="A199" s="57"/>
      <c r="B199" s="30" t="s">
        <v>178</v>
      </c>
      <c r="C199" s="65"/>
      <c r="D199" s="31"/>
      <c r="E199" s="65"/>
      <c r="F199" s="41">
        <f>319142.96+E271</f>
        <v>319142.96000000002</v>
      </c>
      <c r="G199" s="73">
        <f>2.36%+F271</f>
        <v>2.3599999999999999E-2</v>
      </c>
      <c r="H199" s="39"/>
      <c r="I199" s="39"/>
    </row>
    <row r="200" spans="1:9" ht="26">
      <c r="A200" s="57"/>
      <c r="B200" s="86" t="s">
        <v>179</v>
      </c>
      <c r="C200" s="84"/>
      <c r="D200" s="84"/>
      <c r="E200" s="84"/>
      <c r="F200" s="41">
        <v>13396980.52</v>
      </c>
      <c r="G200" s="42">
        <v>1</v>
      </c>
      <c r="H200" s="87"/>
      <c r="I200" s="8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4EF1-E7BD-2D44-8FBC-01B8B911B760}">
  <dimension ref="A1:I116"/>
  <sheetViews>
    <sheetView workbookViewId="0">
      <selection activeCell="I16" sqref="I16"/>
    </sheetView>
  </sheetViews>
  <sheetFormatPr baseColWidth="10" defaultRowHeight="16"/>
  <sheetData>
    <row r="1" spans="1:9" ht="20">
      <c r="A1" s="88"/>
      <c r="B1" s="256" t="s">
        <v>698</v>
      </c>
      <c r="C1" s="257"/>
      <c r="D1" s="257"/>
      <c r="E1" s="257"/>
      <c r="F1" s="257"/>
      <c r="G1" s="257"/>
      <c r="H1" s="257"/>
      <c r="I1" s="257"/>
    </row>
    <row r="2" spans="1:9">
      <c r="A2" s="88"/>
      <c r="B2" s="88"/>
      <c r="C2" s="88"/>
      <c r="D2" s="88"/>
      <c r="E2" s="88"/>
      <c r="F2" s="89"/>
      <c r="G2" s="89"/>
      <c r="H2" s="89"/>
      <c r="I2" s="89"/>
    </row>
    <row r="3" spans="1:9" ht="17" thickBot="1">
      <c r="A3" s="88"/>
      <c r="B3" s="90" t="s">
        <v>199</v>
      </c>
      <c r="C3" s="91"/>
      <c r="D3" s="92"/>
      <c r="E3" s="92"/>
      <c r="F3" s="93"/>
      <c r="G3" s="93"/>
      <c r="H3" s="93"/>
      <c r="I3" s="89"/>
    </row>
    <row r="4" spans="1:9" ht="39">
      <c r="A4" s="88"/>
      <c r="B4" s="94" t="s">
        <v>3</v>
      </c>
      <c r="C4" s="95" t="s">
        <v>4</v>
      </c>
      <c r="D4" s="95" t="s">
        <v>200</v>
      </c>
      <c r="E4" s="95" t="s">
        <v>6</v>
      </c>
      <c r="F4" s="96" t="s">
        <v>699</v>
      </c>
      <c r="G4" s="97" t="s">
        <v>202</v>
      </c>
      <c r="H4" s="97" t="s">
        <v>700</v>
      </c>
      <c r="I4" s="97" t="s">
        <v>701</v>
      </c>
    </row>
    <row r="5" spans="1:9">
      <c r="A5" s="88"/>
      <c r="B5" s="98" t="s">
        <v>9</v>
      </c>
      <c r="C5" s="99"/>
      <c r="D5" s="99"/>
      <c r="E5" s="99"/>
      <c r="F5" s="100"/>
      <c r="G5" s="100"/>
      <c r="H5" s="100"/>
      <c r="I5" s="100"/>
    </row>
    <row r="6" spans="1:9">
      <c r="A6" s="88"/>
      <c r="B6" s="101" t="s">
        <v>93</v>
      </c>
      <c r="C6" s="102"/>
      <c r="D6" s="102"/>
      <c r="E6" s="102"/>
      <c r="F6" s="103"/>
      <c r="G6" s="103"/>
      <c r="H6" s="103"/>
      <c r="I6" s="103"/>
    </row>
    <row r="7" spans="1:9">
      <c r="A7" s="88"/>
      <c r="B7" s="104" t="s">
        <v>702</v>
      </c>
      <c r="C7" s="102" t="s">
        <v>222</v>
      </c>
      <c r="D7" s="102" t="s">
        <v>168</v>
      </c>
      <c r="E7" s="105">
        <v>12833618</v>
      </c>
      <c r="F7" s="103">
        <v>173895.52</v>
      </c>
      <c r="G7" s="103">
        <v>7.06</v>
      </c>
      <c r="H7" s="103" t="s">
        <v>703</v>
      </c>
      <c r="I7" s="103"/>
    </row>
    <row r="8" spans="1:9">
      <c r="A8" s="88"/>
      <c r="B8" s="104" t="s">
        <v>704</v>
      </c>
      <c r="C8" s="102" t="s">
        <v>407</v>
      </c>
      <c r="D8" s="102" t="s">
        <v>408</v>
      </c>
      <c r="E8" s="105">
        <v>19457322</v>
      </c>
      <c r="F8" s="103">
        <v>131171.54</v>
      </c>
      <c r="G8" s="103">
        <v>5.32</v>
      </c>
      <c r="H8" s="103" t="s">
        <v>703</v>
      </c>
      <c r="I8" s="103"/>
    </row>
    <row r="9" spans="1:9">
      <c r="A9" s="88"/>
      <c r="B9" s="104" t="s">
        <v>705</v>
      </c>
      <c r="C9" s="102" t="s">
        <v>706</v>
      </c>
      <c r="D9" s="102" t="s">
        <v>168</v>
      </c>
      <c r="E9" s="105">
        <v>32989386</v>
      </c>
      <c r="F9" s="103">
        <v>94926.96</v>
      </c>
      <c r="G9" s="103">
        <v>3.85</v>
      </c>
      <c r="H9" s="103" t="s">
        <v>707</v>
      </c>
      <c r="I9" s="103"/>
    </row>
    <row r="10" spans="1:9">
      <c r="A10" s="88"/>
      <c r="B10" s="104" t="s">
        <v>708</v>
      </c>
      <c r="C10" s="102" t="s">
        <v>119</v>
      </c>
      <c r="D10" s="102" t="s">
        <v>120</v>
      </c>
      <c r="E10" s="105">
        <v>2473937</v>
      </c>
      <c r="F10" s="103">
        <v>90976.56</v>
      </c>
      <c r="G10" s="103">
        <v>3.69</v>
      </c>
      <c r="H10" s="103" t="s">
        <v>703</v>
      </c>
      <c r="I10" s="103"/>
    </row>
    <row r="11" spans="1:9">
      <c r="A11" s="88"/>
      <c r="B11" s="104" t="s">
        <v>709</v>
      </c>
      <c r="C11" s="102" t="s">
        <v>108</v>
      </c>
      <c r="D11" s="102" t="s">
        <v>68</v>
      </c>
      <c r="E11" s="105">
        <v>19816345</v>
      </c>
      <c r="F11" s="103">
        <v>88975.39</v>
      </c>
      <c r="G11" s="103">
        <v>3.61</v>
      </c>
      <c r="H11" s="103" t="s">
        <v>703</v>
      </c>
      <c r="I11" s="103"/>
    </row>
    <row r="12" spans="1:9">
      <c r="A12" s="88"/>
      <c r="B12" s="104" t="s">
        <v>710</v>
      </c>
      <c r="C12" s="102" t="s">
        <v>711</v>
      </c>
      <c r="D12" s="102" t="s">
        <v>136</v>
      </c>
      <c r="E12" s="105">
        <v>6967628</v>
      </c>
      <c r="F12" s="103">
        <v>82378.27</v>
      </c>
      <c r="G12" s="103">
        <v>3.34</v>
      </c>
      <c r="H12" s="103" t="s">
        <v>707</v>
      </c>
      <c r="I12" s="103"/>
    </row>
    <row r="13" spans="1:9">
      <c r="A13" s="88"/>
      <c r="B13" s="104" t="s">
        <v>712</v>
      </c>
      <c r="C13" s="102" t="s">
        <v>78</v>
      </c>
      <c r="D13" s="102" t="s">
        <v>13</v>
      </c>
      <c r="E13" s="105">
        <v>7418728</v>
      </c>
      <c r="F13" s="103">
        <v>77295.73</v>
      </c>
      <c r="G13" s="103">
        <v>3.14</v>
      </c>
      <c r="H13" s="103" t="s">
        <v>713</v>
      </c>
      <c r="I13" s="103"/>
    </row>
    <row r="14" spans="1:9">
      <c r="A14" s="88"/>
      <c r="B14" s="104" t="s">
        <v>714</v>
      </c>
      <c r="C14" s="102" t="s">
        <v>22</v>
      </c>
      <c r="D14" s="102" t="s">
        <v>23</v>
      </c>
      <c r="E14" s="105">
        <v>27688057</v>
      </c>
      <c r="F14" s="103">
        <v>75754.52</v>
      </c>
      <c r="G14" s="103">
        <v>3.07</v>
      </c>
      <c r="H14" s="103" t="s">
        <v>703</v>
      </c>
      <c r="I14" s="103"/>
    </row>
    <row r="15" spans="1:9">
      <c r="A15" s="88"/>
      <c r="B15" s="104" t="s">
        <v>715</v>
      </c>
      <c r="C15" s="102" t="s">
        <v>231</v>
      </c>
      <c r="D15" s="102" t="s">
        <v>120</v>
      </c>
      <c r="E15" s="105">
        <v>1929314</v>
      </c>
      <c r="F15" s="103">
        <v>66210.2</v>
      </c>
      <c r="G15" s="103">
        <v>2.69</v>
      </c>
      <c r="H15" s="103" t="s">
        <v>703</v>
      </c>
      <c r="I15" s="103"/>
    </row>
    <row r="16" spans="1:9">
      <c r="A16" s="88"/>
      <c r="B16" s="104" t="s">
        <v>716</v>
      </c>
      <c r="C16" s="102" t="s">
        <v>387</v>
      </c>
      <c r="D16" s="102" t="s">
        <v>23</v>
      </c>
      <c r="E16" s="105">
        <v>1486620</v>
      </c>
      <c r="F16" s="103">
        <v>56276</v>
      </c>
      <c r="G16" s="103">
        <v>2.2799999999999998</v>
      </c>
      <c r="H16" s="103" t="s">
        <v>703</v>
      </c>
      <c r="I16" s="103"/>
    </row>
    <row r="17" spans="1:9">
      <c r="A17" s="88"/>
      <c r="B17" s="104" t="s">
        <v>717</v>
      </c>
      <c r="C17" s="102" t="s">
        <v>82</v>
      </c>
      <c r="D17" s="102" t="s">
        <v>83</v>
      </c>
      <c r="E17" s="105">
        <v>511809</v>
      </c>
      <c r="F17" s="103">
        <v>53463.57</v>
      </c>
      <c r="G17" s="103">
        <v>2.17</v>
      </c>
      <c r="H17" s="103" t="s">
        <v>707</v>
      </c>
      <c r="I17" s="103"/>
    </row>
    <row r="18" spans="1:9">
      <c r="A18" s="88"/>
      <c r="B18" s="104" t="s">
        <v>718</v>
      </c>
      <c r="C18" s="102" t="s">
        <v>365</v>
      </c>
      <c r="D18" s="102" t="s">
        <v>719</v>
      </c>
      <c r="E18" s="105">
        <v>4050637</v>
      </c>
      <c r="F18" s="103">
        <v>45930.17</v>
      </c>
      <c r="G18" s="103">
        <v>1.86</v>
      </c>
      <c r="H18" s="103" t="s">
        <v>703</v>
      </c>
      <c r="I18" s="103"/>
    </row>
    <row r="19" spans="1:9">
      <c r="A19" s="88"/>
      <c r="B19" s="104" t="s">
        <v>720</v>
      </c>
      <c r="C19" s="102" t="s">
        <v>721</v>
      </c>
      <c r="D19" s="102" t="s">
        <v>266</v>
      </c>
      <c r="E19" s="105">
        <v>4490063</v>
      </c>
      <c r="F19" s="103">
        <v>42960.92</v>
      </c>
      <c r="G19" s="103">
        <v>1.74</v>
      </c>
      <c r="H19" s="103" t="s">
        <v>703</v>
      </c>
      <c r="I19" s="103"/>
    </row>
    <row r="20" spans="1:9">
      <c r="A20" s="88"/>
      <c r="B20" s="104" t="s">
        <v>722</v>
      </c>
      <c r="C20" s="102" t="s">
        <v>723</v>
      </c>
      <c r="D20" s="102" t="s">
        <v>211</v>
      </c>
      <c r="E20" s="105">
        <v>2970124</v>
      </c>
      <c r="F20" s="103">
        <v>41213.440000000002</v>
      </c>
      <c r="G20" s="103">
        <v>1.67</v>
      </c>
      <c r="H20" s="103" t="s">
        <v>707</v>
      </c>
      <c r="I20" s="103"/>
    </row>
    <row r="21" spans="1:9">
      <c r="A21" s="88"/>
      <c r="B21" s="104" t="s">
        <v>724</v>
      </c>
      <c r="C21" s="102" t="s">
        <v>725</v>
      </c>
      <c r="D21" s="102" t="s">
        <v>146</v>
      </c>
      <c r="E21" s="105">
        <v>145836</v>
      </c>
      <c r="F21" s="103">
        <v>40199.69</v>
      </c>
      <c r="G21" s="103">
        <v>1.63</v>
      </c>
      <c r="H21" s="103" t="s">
        <v>707</v>
      </c>
      <c r="I21" s="103"/>
    </row>
    <row r="22" spans="1:9">
      <c r="A22" s="88"/>
      <c r="B22" s="104" t="s">
        <v>726</v>
      </c>
      <c r="C22" s="102" t="s">
        <v>19</v>
      </c>
      <c r="D22" s="102" t="s">
        <v>20</v>
      </c>
      <c r="E22" s="105">
        <v>2032532</v>
      </c>
      <c r="F22" s="103">
        <v>40014.46</v>
      </c>
      <c r="G22" s="103">
        <v>1.62</v>
      </c>
      <c r="H22" s="103" t="s">
        <v>703</v>
      </c>
      <c r="I22" s="103"/>
    </row>
    <row r="23" spans="1:9">
      <c r="A23" s="88"/>
      <c r="B23" s="104" t="s">
        <v>727</v>
      </c>
      <c r="C23" s="102" t="s">
        <v>154</v>
      </c>
      <c r="D23" s="102" t="s">
        <v>111</v>
      </c>
      <c r="E23" s="105">
        <v>2440770</v>
      </c>
      <c r="F23" s="103">
        <v>39823.599999999999</v>
      </c>
      <c r="G23" s="103">
        <v>1.62</v>
      </c>
      <c r="H23" s="103" t="s">
        <v>703</v>
      </c>
      <c r="I23" s="103"/>
    </row>
    <row r="24" spans="1:9">
      <c r="A24" s="88"/>
      <c r="B24" s="104" t="s">
        <v>728</v>
      </c>
      <c r="C24" s="102" t="s">
        <v>729</v>
      </c>
      <c r="D24" s="102" t="s">
        <v>353</v>
      </c>
      <c r="E24" s="105">
        <v>690948</v>
      </c>
      <c r="F24" s="103">
        <v>38164.51</v>
      </c>
      <c r="G24" s="103">
        <v>1.55</v>
      </c>
      <c r="H24" s="103" t="s">
        <v>707</v>
      </c>
      <c r="I24" s="103"/>
    </row>
    <row r="25" spans="1:9">
      <c r="A25" s="88"/>
      <c r="B25" s="104" t="s">
        <v>730</v>
      </c>
      <c r="C25" s="102" t="s">
        <v>421</v>
      </c>
      <c r="D25" s="102" t="s">
        <v>211</v>
      </c>
      <c r="E25" s="105">
        <v>10396495</v>
      </c>
      <c r="F25" s="103">
        <v>38082.36</v>
      </c>
      <c r="G25" s="103">
        <v>1.55</v>
      </c>
      <c r="H25" s="103" t="s">
        <v>703</v>
      </c>
      <c r="I25" s="103"/>
    </row>
    <row r="26" spans="1:9">
      <c r="A26" s="88"/>
      <c r="B26" s="104" t="s">
        <v>731</v>
      </c>
      <c r="C26" s="102" t="s">
        <v>732</v>
      </c>
      <c r="D26" s="102" t="s">
        <v>408</v>
      </c>
      <c r="E26" s="105">
        <v>11301547</v>
      </c>
      <c r="F26" s="103">
        <v>35549.019999999997</v>
      </c>
      <c r="G26" s="103">
        <v>1.44</v>
      </c>
      <c r="H26" s="103" t="s">
        <v>713</v>
      </c>
      <c r="I26" s="103"/>
    </row>
    <row r="27" spans="1:9">
      <c r="A27" s="88"/>
      <c r="B27" s="104" t="s">
        <v>733</v>
      </c>
      <c r="C27" s="102" t="s">
        <v>734</v>
      </c>
      <c r="D27" s="102" t="s">
        <v>735</v>
      </c>
      <c r="E27" s="105">
        <v>1012395</v>
      </c>
      <c r="F27" s="103">
        <v>32350.07</v>
      </c>
      <c r="G27" s="103">
        <v>1.31</v>
      </c>
      <c r="H27" s="103" t="s">
        <v>707</v>
      </c>
      <c r="I27" s="103"/>
    </row>
    <row r="28" spans="1:9">
      <c r="A28" s="88"/>
      <c r="B28" s="104" t="s">
        <v>736</v>
      </c>
      <c r="C28" s="102" t="s">
        <v>737</v>
      </c>
      <c r="D28" s="102" t="s">
        <v>23</v>
      </c>
      <c r="E28" s="105">
        <v>23781416</v>
      </c>
      <c r="F28" s="103">
        <v>29952.69</v>
      </c>
      <c r="G28" s="103">
        <v>1.22</v>
      </c>
      <c r="H28" s="103" t="s">
        <v>707</v>
      </c>
      <c r="I28" s="103"/>
    </row>
    <row r="29" spans="1:9">
      <c r="A29" s="88"/>
      <c r="B29" s="104" t="s">
        <v>738</v>
      </c>
      <c r="C29" s="102" t="s">
        <v>133</v>
      </c>
      <c r="D29" s="102" t="s">
        <v>111</v>
      </c>
      <c r="E29" s="105">
        <v>3092231</v>
      </c>
      <c r="F29" s="103">
        <v>28753.11</v>
      </c>
      <c r="G29" s="103">
        <v>1.17</v>
      </c>
      <c r="H29" s="103" t="s">
        <v>703</v>
      </c>
      <c r="I29" s="103"/>
    </row>
    <row r="30" spans="1:9">
      <c r="A30" s="88"/>
      <c r="B30" s="104" t="s">
        <v>739</v>
      </c>
      <c r="C30" s="102" t="s">
        <v>740</v>
      </c>
      <c r="D30" s="102" t="s">
        <v>114</v>
      </c>
      <c r="E30" s="105">
        <v>1353923</v>
      </c>
      <c r="F30" s="103">
        <v>27697.200000000001</v>
      </c>
      <c r="G30" s="103">
        <v>1.1200000000000001</v>
      </c>
      <c r="H30" s="103" t="s">
        <v>707</v>
      </c>
      <c r="I30" s="103"/>
    </row>
    <row r="31" spans="1:9">
      <c r="A31" s="88"/>
      <c r="B31" s="104" t="s">
        <v>741</v>
      </c>
      <c r="C31" s="102" t="s">
        <v>31</v>
      </c>
      <c r="D31" s="102" t="s">
        <v>13</v>
      </c>
      <c r="E31" s="105">
        <v>456927</v>
      </c>
      <c r="F31" s="103">
        <v>27575.54</v>
      </c>
      <c r="G31" s="103">
        <v>1.1200000000000001</v>
      </c>
      <c r="H31" s="103" t="s">
        <v>707</v>
      </c>
      <c r="I31" s="103"/>
    </row>
    <row r="32" spans="1:9">
      <c r="A32" s="88"/>
      <c r="B32" s="104" t="s">
        <v>742</v>
      </c>
      <c r="C32" s="102" t="s">
        <v>52</v>
      </c>
      <c r="D32" s="102" t="s">
        <v>53</v>
      </c>
      <c r="E32" s="105">
        <v>1055500</v>
      </c>
      <c r="F32" s="103">
        <v>26683.040000000001</v>
      </c>
      <c r="G32" s="103">
        <v>1.08</v>
      </c>
      <c r="H32" s="103" t="s">
        <v>707</v>
      </c>
      <c r="I32" s="103"/>
    </row>
    <row r="33" spans="1:9">
      <c r="A33" s="88"/>
      <c r="B33" s="104" t="s">
        <v>743</v>
      </c>
      <c r="C33" s="102" t="s">
        <v>27</v>
      </c>
      <c r="D33" s="102" t="s">
        <v>13</v>
      </c>
      <c r="E33" s="105">
        <v>1583405</v>
      </c>
      <c r="F33" s="103">
        <v>26186.35</v>
      </c>
      <c r="G33" s="103">
        <v>1.06</v>
      </c>
      <c r="H33" s="103" t="s">
        <v>707</v>
      </c>
      <c r="I33" s="103"/>
    </row>
    <row r="34" spans="1:9">
      <c r="A34" s="88"/>
      <c r="B34" s="104" t="s">
        <v>744</v>
      </c>
      <c r="C34" s="102" t="s">
        <v>47</v>
      </c>
      <c r="D34" s="102" t="s">
        <v>48</v>
      </c>
      <c r="E34" s="105">
        <v>1558441</v>
      </c>
      <c r="F34" s="103">
        <v>25784.41</v>
      </c>
      <c r="G34" s="103">
        <v>1.05</v>
      </c>
      <c r="H34" s="103" t="s">
        <v>707</v>
      </c>
      <c r="I34" s="103"/>
    </row>
    <row r="35" spans="1:9">
      <c r="A35" s="88"/>
      <c r="B35" s="104" t="s">
        <v>745</v>
      </c>
      <c r="C35" s="102" t="s">
        <v>163</v>
      </c>
      <c r="D35" s="102" t="s">
        <v>117</v>
      </c>
      <c r="E35" s="105">
        <v>787988</v>
      </c>
      <c r="F35" s="103">
        <v>25454.38</v>
      </c>
      <c r="G35" s="103">
        <v>1.03</v>
      </c>
      <c r="H35" s="103" t="s">
        <v>707</v>
      </c>
      <c r="I35" s="103"/>
    </row>
    <row r="36" spans="1:9">
      <c r="A36" s="88"/>
      <c r="B36" s="104" t="s">
        <v>746</v>
      </c>
      <c r="C36" s="102" t="s">
        <v>747</v>
      </c>
      <c r="D36" s="102" t="s">
        <v>127</v>
      </c>
      <c r="E36" s="105">
        <v>1706479</v>
      </c>
      <c r="F36" s="103">
        <v>25441.9</v>
      </c>
      <c r="G36" s="103">
        <v>1.03</v>
      </c>
      <c r="H36" s="103" t="s">
        <v>707</v>
      </c>
      <c r="I36" s="103"/>
    </row>
    <row r="37" spans="1:9">
      <c r="A37" s="88"/>
      <c r="B37" s="104" t="s">
        <v>748</v>
      </c>
      <c r="C37" s="102" t="s">
        <v>749</v>
      </c>
      <c r="D37" s="102" t="s">
        <v>141</v>
      </c>
      <c r="E37" s="105">
        <v>183604</v>
      </c>
      <c r="F37" s="103">
        <v>24749.82</v>
      </c>
      <c r="G37" s="103">
        <v>1</v>
      </c>
      <c r="H37" s="103" t="s">
        <v>703</v>
      </c>
      <c r="I37" s="103"/>
    </row>
    <row r="38" spans="1:9">
      <c r="A38" s="88"/>
      <c r="B38" s="104" t="s">
        <v>750</v>
      </c>
      <c r="C38" s="102" t="s">
        <v>751</v>
      </c>
      <c r="D38" s="102" t="s">
        <v>146</v>
      </c>
      <c r="E38" s="105">
        <v>877439</v>
      </c>
      <c r="F38" s="103">
        <v>24409.48</v>
      </c>
      <c r="G38" s="103">
        <v>0.99</v>
      </c>
      <c r="H38" s="103" t="s">
        <v>713</v>
      </c>
      <c r="I38" s="103"/>
    </row>
    <row r="39" spans="1:9">
      <c r="A39" s="88"/>
      <c r="B39" s="104" t="s">
        <v>752</v>
      </c>
      <c r="C39" s="102" t="s">
        <v>753</v>
      </c>
      <c r="D39" s="102" t="s">
        <v>266</v>
      </c>
      <c r="E39" s="105">
        <v>2312524</v>
      </c>
      <c r="F39" s="103">
        <v>24369.38</v>
      </c>
      <c r="G39" s="103">
        <v>0.99</v>
      </c>
      <c r="H39" s="103" t="s">
        <v>707</v>
      </c>
      <c r="I39" s="103"/>
    </row>
    <row r="40" spans="1:9">
      <c r="A40" s="88"/>
      <c r="B40" s="104" t="s">
        <v>754</v>
      </c>
      <c r="C40" s="102" t="s">
        <v>755</v>
      </c>
      <c r="D40" s="102" t="s">
        <v>756</v>
      </c>
      <c r="E40" s="105">
        <v>70109</v>
      </c>
      <c r="F40" s="103">
        <v>24110.49</v>
      </c>
      <c r="G40" s="103">
        <v>0.98</v>
      </c>
      <c r="H40" s="103" t="s">
        <v>707</v>
      </c>
      <c r="I40" s="103"/>
    </row>
    <row r="41" spans="1:9">
      <c r="A41" s="88"/>
      <c r="B41" s="104" t="s">
        <v>757</v>
      </c>
      <c r="C41" s="102" t="s">
        <v>758</v>
      </c>
      <c r="D41" s="102" t="s">
        <v>345</v>
      </c>
      <c r="E41" s="105">
        <v>1560790</v>
      </c>
      <c r="F41" s="103">
        <v>22920.2</v>
      </c>
      <c r="G41" s="103">
        <v>0.93</v>
      </c>
      <c r="H41" s="103" t="s">
        <v>707</v>
      </c>
      <c r="I41" s="103"/>
    </row>
    <row r="42" spans="1:9">
      <c r="A42" s="88"/>
      <c r="B42" s="104" t="s">
        <v>759</v>
      </c>
      <c r="C42" s="102" t="s">
        <v>760</v>
      </c>
      <c r="D42" s="102" t="s">
        <v>136</v>
      </c>
      <c r="E42" s="105">
        <v>1569047</v>
      </c>
      <c r="F42" s="103">
        <v>22616.240000000002</v>
      </c>
      <c r="G42" s="103">
        <v>0.92</v>
      </c>
      <c r="H42" s="103" t="s">
        <v>707</v>
      </c>
      <c r="I42" s="103"/>
    </row>
    <row r="43" spans="1:9">
      <c r="A43" s="88"/>
      <c r="B43" s="104" t="s">
        <v>761</v>
      </c>
      <c r="C43" s="102" t="s">
        <v>762</v>
      </c>
      <c r="D43" s="102" t="s">
        <v>136</v>
      </c>
      <c r="E43" s="105">
        <v>4560256</v>
      </c>
      <c r="F43" s="103">
        <v>22607.47</v>
      </c>
      <c r="G43" s="103">
        <v>0.92</v>
      </c>
      <c r="H43" s="103" t="s">
        <v>713</v>
      </c>
      <c r="I43" s="103"/>
    </row>
    <row r="44" spans="1:9">
      <c r="A44" s="88"/>
      <c r="B44" s="104" t="s">
        <v>763</v>
      </c>
      <c r="C44" s="102" t="s">
        <v>764</v>
      </c>
      <c r="D44" s="102" t="s">
        <v>117</v>
      </c>
      <c r="E44" s="105">
        <v>405188</v>
      </c>
      <c r="F44" s="103">
        <v>22603.41</v>
      </c>
      <c r="G44" s="103">
        <v>0.92</v>
      </c>
      <c r="H44" s="103" t="s">
        <v>703</v>
      </c>
      <c r="I44" s="103"/>
    </row>
    <row r="45" spans="1:9">
      <c r="A45" s="88"/>
      <c r="B45" s="104" t="s">
        <v>765</v>
      </c>
      <c r="C45" s="102" t="s">
        <v>152</v>
      </c>
      <c r="D45" s="102" t="s">
        <v>117</v>
      </c>
      <c r="E45" s="105">
        <v>47375464</v>
      </c>
      <c r="F45" s="103">
        <v>22583.88</v>
      </c>
      <c r="G45" s="103">
        <v>0.92</v>
      </c>
      <c r="H45" s="103" t="s">
        <v>707</v>
      </c>
      <c r="I45" s="103"/>
    </row>
    <row r="46" spans="1:9">
      <c r="A46" s="88"/>
      <c r="B46" s="104" t="s">
        <v>766</v>
      </c>
      <c r="C46" s="102" t="s">
        <v>767</v>
      </c>
      <c r="D46" s="102" t="s">
        <v>768</v>
      </c>
      <c r="E46" s="105">
        <v>7719311</v>
      </c>
      <c r="F46" s="103">
        <v>22397.58</v>
      </c>
      <c r="G46" s="103">
        <v>0.91</v>
      </c>
      <c r="H46" s="103" t="s">
        <v>713</v>
      </c>
      <c r="I46" s="103"/>
    </row>
    <row r="47" spans="1:9">
      <c r="A47" s="88"/>
      <c r="B47" s="104" t="s">
        <v>769</v>
      </c>
      <c r="C47" s="102" t="s">
        <v>359</v>
      </c>
      <c r="D47" s="102" t="s">
        <v>146</v>
      </c>
      <c r="E47" s="105">
        <v>361165</v>
      </c>
      <c r="F47" s="103">
        <v>21854.09</v>
      </c>
      <c r="G47" s="103">
        <v>0.89</v>
      </c>
      <c r="H47" s="103" t="s">
        <v>703</v>
      </c>
      <c r="I47" s="103"/>
    </row>
    <row r="48" spans="1:9">
      <c r="A48" s="88"/>
      <c r="B48" s="104" t="s">
        <v>770</v>
      </c>
      <c r="C48" s="102" t="s">
        <v>771</v>
      </c>
      <c r="D48" s="102" t="s">
        <v>141</v>
      </c>
      <c r="E48" s="105">
        <v>1232048</v>
      </c>
      <c r="F48" s="103">
        <v>18808.439999999999</v>
      </c>
      <c r="G48" s="103">
        <v>0.76</v>
      </c>
      <c r="H48" s="103" t="s">
        <v>713</v>
      </c>
      <c r="I48" s="103"/>
    </row>
    <row r="49" spans="1:9">
      <c r="A49" s="88"/>
      <c r="B49" s="104" t="s">
        <v>772</v>
      </c>
      <c r="C49" s="102" t="s">
        <v>344</v>
      </c>
      <c r="D49" s="102" t="s">
        <v>345</v>
      </c>
      <c r="E49" s="105">
        <v>3983695</v>
      </c>
      <c r="F49" s="103">
        <v>18773.16</v>
      </c>
      <c r="G49" s="103">
        <v>0.76</v>
      </c>
      <c r="H49" s="103" t="s">
        <v>703</v>
      </c>
      <c r="I49" s="103"/>
    </row>
    <row r="50" spans="1:9">
      <c r="A50" s="88"/>
      <c r="B50" s="104" t="s">
        <v>773</v>
      </c>
      <c r="C50" s="102" t="s">
        <v>774</v>
      </c>
      <c r="D50" s="102" t="s">
        <v>775</v>
      </c>
      <c r="E50" s="105">
        <v>1475242</v>
      </c>
      <c r="F50" s="103">
        <v>18682.46</v>
      </c>
      <c r="G50" s="103">
        <v>0.76</v>
      </c>
      <c r="H50" s="103" t="s">
        <v>713</v>
      </c>
      <c r="I50" s="103"/>
    </row>
    <row r="51" spans="1:9">
      <c r="A51" s="88"/>
      <c r="B51" s="104" t="s">
        <v>776</v>
      </c>
      <c r="C51" s="102" t="s">
        <v>777</v>
      </c>
      <c r="D51" s="102" t="s">
        <v>408</v>
      </c>
      <c r="E51" s="105">
        <v>10294293</v>
      </c>
      <c r="F51" s="103">
        <v>18607.96</v>
      </c>
      <c r="G51" s="103">
        <v>0.76</v>
      </c>
      <c r="H51" s="103" t="s">
        <v>707</v>
      </c>
      <c r="I51" s="103"/>
    </row>
    <row r="52" spans="1:9">
      <c r="A52" s="88"/>
      <c r="B52" s="104" t="s">
        <v>778</v>
      </c>
      <c r="C52" s="102" t="s">
        <v>327</v>
      </c>
      <c r="D52" s="102" t="s">
        <v>146</v>
      </c>
      <c r="E52" s="105">
        <v>1149202</v>
      </c>
      <c r="F52" s="103">
        <v>18333.22</v>
      </c>
      <c r="G52" s="103">
        <v>0.74</v>
      </c>
      <c r="H52" s="103" t="s">
        <v>703</v>
      </c>
      <c r="I52" s="103"/>
    </row>
    <row r="53" spans="1:9">
      <c r="A53" s="88"/>
      <c r="B53" s="104" t="s">
        <v>779</v>
      </c>
      <c r="C53" s="102" t="s">
        <v>381</v>
      </c>
      <c r="D53" s="102" t="s">
        <v>146</v>
      </c>
      <c r="E53" s="105">
        <v>823988</v>
      </c>
      <c r="F53" s="103">
        <v>17738.810000000001</v>
      </c>
      <c r="G53" s="103">
        <v>0.72</v>
      </c>
      <c r="H53" s="103" t="s">
        <v>707</v>
      </c>
      <c r="I53" s="103"/>
    </row>
    <row r="54" spans="1:9">
      <c r="A54" s="88"/>
      <c r="B54" s="104" t="s">
        <v>780</v>
      </c>
      <c r="C54" s="102" t="s">
        <v>781</v>
      </c>
      <c r="D54" s="102" t="s">
        <v>83</v>
      </c>
      <c r="E54" s="105">
        <v>2043454</v>
      </c>
      <c r="F54" s="103">
        <v>17575.75</v>
      </c>
      <c r="G54" s="103">
        <v>0.71</v>
      </c>
      <c r="H54" s="103" t="s">
        <v>713</v>
      </c>
      <c r="I54" s="103"/>
    </row>
    <row r="55" spans="1:9">
      <c r="A55" s="88"/>
      <c r="B55" s="104" t="s">
        <v>782</v>
      </c>
      <c r="C55" s="102" t="s">
        <v>783</v>
      </c>
      <c r="D55" s="102" t="s">
        <v>20</v>
      </c>
      <c r="E55" s="105">
        <v>1135817</v>
      </c>
      <c r="F55" s="103">
        <v>17546.099999999999</v>
      </c>
      <c r="G55" s="103">
        <v>0.71</v>
      </c>
      <c r="H55" s="103" t="s">
        <v>707</v>
      </c>
      <c r="I55" s="103"/>
    </row>
    <row r="56" spans="1:9">
      <c r="A56" s="88"/>
      <c r="B56" s="104" t="s">
        <v>784</v>
      </c>
      <c r="C56" s="102" t="s">
        <v>785</v>
      </c>
      <c r="D56" s="102" t="s">
        <v>345</v>
      </c>
      <c r="E56" s="105">
        <v>579337</v>
      </c>
      <c r="F56" s="103">
        <v>16384.23</v>
      </c>
      <c r="G56" s="103">
        <v>0.66</v>
      </c>
      <c r="H56" s="103" t="s">
        <v>707</v>
      </c>
      <c r="I56" s="103"/>
    </row>
    <row r="57" spans="1:9">
      <c r="A57" s="88"/>
      <c r="B57" s="104" t="s">
        <v>786</v>
      </c>
      <c r="C57" s="102" t="s">
        <v>787</v>
      </c>
      <c r="D57" s="102" t="s">
        <v>83</v>
      </c>
      <c r="E57" s="105">
        <v>7333838</v>
      </c>
      <c r="F57" s="103">
        <v>16240.78</v>
      </c>
      <c r="G57" s="103">
        <v>0.66</v>
      </c>
      <c r="H57" s="103" t="s">
        <v>713</v>
      </c>
      <c r="I57" s="103"/>
    </row>
    <row r="58" spans="1:9">
      <c r="A58" s="88"/>
      <c r="B58" s="104" t="s">
        <v>788</v>
      </c>
      <c r="C58" s="102" t="s">
        <v>143</v>
      </c>
      <c r="D58" s="102" t="s">
        <v>68</v>
      </c>
      <c r="E58" s="105">
        <v>339126</v>
      </c>
      <c r="F58" s="103">
        <v>15665.59</v>
      </c>
      <c r="G58" s="103">
        <v>0.64</v>
      </c>
      <c r="H58" s="103" t="s">
        <v>703</v>
      </c>
      <c r="I58" s="103"/>
    </row>
    <row r="59" spans="1:9">
      <c r="A59" s="88"/>
      <c r="B59" s="104" t="s">
        <v>789</v>
      </c>
      <c r="C59" s="102" t="s">
        <v>790</v>
      </c>
      <c r="D59" s="102" t="s">
        <v>136</v>
      </c>
      <c r="E59" s="105">
        <v>103472</v>
      </c>
      <c r="F59" s="103">
        <v>15509.42</v>
      </c>
      <c r="G59" s="103">
        <v>0.63</v>
      </c>
      <c r="H59" s="103" t="s">
        <v>713</v>
      </c>
      <c r="I59" s="103"/>
    </row>
    <row r="60" spans="1:9">
      <c r="A60" s="88"/>
      <c r="B60" s="104" t="s">
        <v>791</v>
      </c>
      <c r="C60" s="102" t="s">
        <v>792</v>
      </c>
      <c r="D60" s="102" t="s">
        <v>256</v>
      </c>
      <c r="E60" s="105">
        <v>264368</v>
      </c>
      <c r="F60" s="103">
        <v>15493.29</v>
      </c>
      <c r="G60" s="103">
        <v>0.63</v>
      </c>
      <c r="H60" s="103" t="s">
        <v>703</v>
      </c>
      <c r="I60" s="103"/>
    </row>
    <row r="61" spans="1:9">
      <c r="A61" s="88"/>
      <c r="B61" s="104" t="s">
        <v>793</v>
      </c>
      <c r="C61" s="102" t="s">
        <v>794</v>
      </c>
      <c r="D61" s="102" t="s">
        <v>111</v>
      </c>
      <c r="E61" s="105">
        <v>1054497</v>
      </c>
      <c r="F61" s="103">
        <v>13987.9</v>
      </c>
      <c r="G61" s="103">
        <v>0.56999999999999995</v>
      </c>
      <c r="H61" s="103" t="s">
        <v>713</v>
      </c>
      <c r="I61" s="103"/>
    </row>
    <row r="62" spans="1:9">
      <c r="A62" s="88"/>
      <c r="B62" s="104" t="s">
        <v>795</v>
      </c>
      <c r="C62" s="102" t="s">
        <v>796</v>
      </c>
      <c r="D62" s="102" t="s">
        <v>83</v>
      </c>
      <c r="E62" s="105">
        <v>902271</v>
      </c>
      <c r="F62" s="103">
        <v>13196.62</v>
      </c>
      <c r="G62" s="103">
        <v>0.54</v>
      </c>
      <c r="H62" s="103" t="s">
        <v>703</v>
      </c>
      <c r="I62" s="103"/>
    </row>
    <row r="63" spans="1:9">
      <c r="A63" s="88"/>
      <c r="B63" s="104" t="s">
        <v>797</v>
      </c>
      <c r="C63" s="102" t="s">
        <v>418</v>
      </c>
      <c r="D63" s="102" t="s">
        <v>345</v>
      </c>
      <c r="E63" s="105">
        <v>936882</v>
      </c>
      <c r="F63" s="103">
        <v>12765.95</v>
      </c>
      <c r="G63" s="103">
        <v>0.52</v>
      </c>
      <c r="H63" s="103" t="s">
        <v>707</v>
      </c>
      <c r="I63" s="103"/>
    </row>
    <row r="64" spans="1:9">
      <c r="A64" s="88"/>
      <c r="B64" s="104" t="s">
        <v>798</v>
      </c>
      <c r="C64" s="102" t="s">
        <v>799</v>
      </c>
      <c r="D64" s="102" t="s">
        <v>273</v>
      </c>
      <c r="E64" s="105">
        <v>229682</v>
      </c>
      <c r="F64" s="103">
        <v>12614.14</v>
      </c>
      <c r="G64" s="103">
        <v>0.51</v>
      </c>
      <c r="H64" s="103" t="s">
        <v>713</v>
      </c>
      <c r="I64" s="103"/>
    </row>
    <row r="65" spans="1:9">
      <c r="A65" s="88"/>
      <c r="B65" s="104" t="s">
        <v>800</v>
      </c>
      <c r="C65" s="102" t="s">
        <v>801</v>
      </c>
      <c r="D65" s="102" t="s">
        <v>802</v>
      </c>
      <c r="E65" s="105">
        <v>1439514</v>
      </c>
      <c r="F65" s="103">
        <v>12517.29</v>
      </c>
      <c r="G65" s="103">
        <v>0.51</v>
      </c>
      <c r="H65" s="103" t="s">
        <v>707</v>
      </c>
      <c r="I65" s="103"/>
    </row>
    <row r="66" spans="1:9">
      <c r="A66" s="88"/>
      <c r="B66" s="104" t="s">
        <v>28</v>
      </c>
      <c r="C66" s="102" t="s">
        <v>29</v>
      </c>
      <c r="D66" s="102" t="s">
        <v>23</v>
      </c>
      <c r="E66" s="105">
        <v>3912980</v>
      </c>
      <c r="F66" s="103">
        <v>12120.46</v>
      </c>
      <c r="G66" s="103">
        <v>0.49</v>
      </c>
      <c r="H66" s="103" t="s">
        <v>707</v>
      </c>
      <c r="I66" s="103"/>
    </row>
    <row r="67" spans="1:9">
      <c r="A67" s="88"/>
      <c r="B67" s="104" t="s">
        <v>803</v>
      </c>
      <c r="C67" s="102" t="s">
        <v>17</v>
      </c>
      <c r="D67" s="102" t="s">
        <v>13</v>
      </c>
      <c r="E67" s="105">
        <v>686480</v>
      </c>
      <c r="F67" s="103">
        <v>11966.03</v>
      </c>
      <c r="G67" s="103">
        <v>0.49</v>
      </c>
      <c r="H67" s="103" t="s">
        <v>703</v>
      </c>
      <c r="I67" s="103"/>
    </row>
    <row r="68" spans="1:9">
      <c r="A68" s="88"/>
      <c r="B68" s="104" t="s">
        <v>804</v>
      </c>
      <c r="C68" s="102" t="s">
        <v>319</v>
      </c>
      <c r="D68" s="102" t="s">
        <v>83</v>
      </c>
      <c r="E68" s="105">
        <v>290548</v>
      </c>
      <c r="F68" s="103">
        <v>11556.26</v>
      </c>
      <c r="G68" s="103">
        <v>0.47</v>
      </c>
      <c r="H68" s="103" t="s">
        <v>703</v>
      </c>
      <c r="I68" s="103"/>
    </row>
    <row r="69" spans="1:9">
      <c r="A69" s="88"/>
      <c r="B69" s="104" t="s">
        <v>805</v>
      </c>
      <c r="C69" s="102" t="s">
        <v>131</v>
      </c>
      <c r="D69" s="102" t="s">
        <v>117</v>
      </c>
      <c r="E69" s="105">
        <v>1961573</v>
      </c>
      <c r="F69" s="103">
        <v>11456.57</v>
      </c>
      <c r="G69" s="103">
        <v>0.46</v>
      </c>
      <c r="H69" s="103" t="s">
        <v>703</v>
      </c>
      <c r="I69" s="103"/>
    </row>
    <row r="70" spans="1:9">
      <c r="A70" s="88"/>
      <c r="B70" s="104" t="s">
        <v>806</v>
      </c>
      <c r="C70" s="102" t="s">
        <v>57</v>
      </c>
      <c r="D70" s="102" t="s">
        <v>48</v>
      </c>
      <c r="E70" s="105">
        <v>949999</v>
      </c>
      <c r="F70" s="103">
        <v>10806.24</v>
      </c>
      <c r="G70" s="103">
        <v>0.44</v>
      </c>
      <c r="H70" s="103" t="s">
        <v>707</v>
      </c>
      <c r="I70" s="103"/>
    </row>
    <row r="71" spans="1:9">
      <c r="A71" s="88"/>
      <c r="B71" s="104" t="s">
        <v>807</v>
      </c>
      <c r="C71" s="102" t="s">
        <v>808</v>
      </c>
      <c r="D71" s="102" t="s">
        <v>408</v>
      </c>
      <c r="E71" s="105">
        <v>2128153</v>
      </c>
      <c r="F71" s="103">
        <v>10577.98</v>
      </c>
      <c r="G71" s="103">
        <v>0.43</v>
      </c>
      <c r="H71" s="103" t="s">
        <v>707</v>
      </c>
      <c r="I71" s="103"/>
    </row>
    <row r="72" spans="1:9">
      <c r="A72" s="88"/>
      <c r="B72" s="104" t="s">
        <v>809</v>
      </c>
      <c r="C72" s="102" t="s">
        <v>269</v>
      </c>
      <c r="D72" s="102" t="s">
        <v>53</v>
      </c>
      <c r="E72" s="105">
        <v>790562</v>
      </c>
      <c r="F72" s="103">
        <v>10437</v>
      </c>
      <c r="G72" s="103">
        <v>0.42</v>
      </c>
      <c r="H72" s="103" t="s">
        <v>713</v>
      </c>
      <c r="I72" s="103"/>
    </row>
    <row r="73" spans="1:9">
      <c r="A73" s="88"/>
      <c r="B73" s="104" t="s">
        <v>810</v>
      </c>
      <c r="C73" s="102" t="s">
        <v>811</v>
      </c>
      <c r="D73" s="102" t="s">
        <v>168</v>
      </c>
      <c r="E73" s="105">
        <v>1136770</v>
      </c>
      <c r="F73" s="103">
        <v>10363.93</v>
      </c>
      <c r="G73" s="103">
        <v>0.42</v>
      </c>
      <c r="H73" s="103" t="s">
        <v>707</v>
      </c>
      <c r="I73" s="103"/>
    </row>
    <row r="74" spans="1:9">
      <c r="A74" s="88"/>
      <c r="B74" s="104" t="s">
        <v>812</v>
      </c>
      <c r="C74" s="102" t="s">
        <v>813</v>
      </c>
      <c r="D74" s="102" t="s">
        <v>136</v>
      </c>
      <c r="E74" s="105">
        <v>275593</v>
      </c>
      <c r="F74" s="103">
        <v>9982.25</v>
      </c>
      <c r="G74" s="103">
        <v>0.41</v>
      </c>
      <c r="H74" s="103" t="s">
        <v>707</v>
      </c>
      <c r="I74" s="103"/>
    </row>
    <row r="75" spans="1:9">
      <c r="A75" s="88"/>
      <c r="B75" s="104" t="s">
        <v>814</v>
      </c>
      <c r="C75" s="102" t="s">
        <v>815</v>
      </c>
      <c r="D75" s="102" t="s">
        <v>141</v>
      </c>
      <c r="E75" s="105">
        <v>149452</v>
      </c>
      <c r="F75" s="103">
        <v>8977.58</v>
      </c>
      <c r="G75" s="103">
        <v>0.36</v>
      </c>
      <c r="H75" s="103" t="s">
        <v>707</v>
      </c>
      <c r="I75" s="103"/>
    </row>
    <row r="76" spans="1:9">
      <c r="A76" s="88"/>
      <c r="B76" s="104" t="s">
        <v>816</v>
      </c>
      <c r="C76" s="102" t="s">
        <v>817</v>
      </c>
      <c r="D76" s="102" t="s">
        <v>273</v>
      </c>
      <c r="E76" s="105">
        <v>1778951</v>
      </c>
      <c r="F76" s="103">
        <v>8934.7800000000007</v>
      </c>
      <c r="G76" s="103">
        <v>0.36</v>
      </c>
      <c r="H76" s="103" t="s">
        <v>707</v>
      </c>
      <c r="I76" s="103"/>
    </row>
    <row r="77" spans="1:9">
      <c r="A77" s="88"/>
      <c r="B77" s="104" t="s">
        <v>818</v>
      </c>
      <c r="C77" s="102" t="s">
        <v>819</v>
      </c>
      <c r="D77" s="102" t="s">
        <v>256</v>
      </c>
      <c r="E77" s="105">
        <v>3931940</v>
      </c>
      <c r="F77" s="103">
        <v>8759.58</v>
      </c>
      <c r="G77" s="103">
        <v>0.36</v>
      </c>
      <c r="H77" s="103" t="s">
        <v>713</v>
      </c>
      <c r="I77" s="103"/>
    </row>
    <row r="78" spans="1:9">
      <c r="A78" s="88"/>
      <c r="B78" s="104" t="s">
        <v>820</v>
      </c>
      <c r="C78" s="102" t="s">
        <v>821</v>
      </c>
      <c r="D78" s="102" t="s">
        <v>120</v>
      </c>
      <c r="E78" s="105">
        <v>90164</v>
      </c>
      <c r="F78" s="103">
        <v>8653.49</v>
      </c>
      <c r="G78" s="103">
        <v>0.35</v>
      </c>
      <c r="H78" s="103" t="s">
        <v>703</v>
      </c>
      <c r="I78" s="103"/>
    </row>
    <row r="79" spans="1:9">
      <c r="A79" s="88"/>
      <c r="B79" s="104" t="s">
        <v>822</v>
      </c>
      <c r="C79" s="102" t="s">
        <v>823</v>
      </c>
      <c r="D79" s="102" t="s">
        <v>353</v>
      </c>
      <c r="E79" s="105">
        <v>31805</v>
      </c>
      <c r="F79" s="103">
        <v>8582.58</v>
      </c>
      <c r="G79" s="103">
        <v>0.35</v>
      </c>
      <c r="H79" s="103" t="s">
        <v>707</v>
      </c>
      <c r="I79" s="103"/>
    </row>
    <row r="80" spans="1:9">
      <c r="A80" s="88"/>
      <c r="B80" s="104" t="s">
        <v>824</v>
      </c>
      <c r="C80" s="102" t="s">
        <v>337</v>
      </c>
      <c r="D80" s="102" t="s">
        <v>111</v>
      </c>
      <c r="E80" s="105">
        <v>414880</v>
      </c>
      <c r="F80" s="103">
        <v>8100.95</v>
      </c>
      <c r="G80" s="103">
        <v>0.33</v>
      </c>
      <c r="H80" s="103" t="s">
        <v>703</v>
      </c>
      <c r="I80" s="103"/>
    </row>
    <row r="81" spans="1:9">
      <c r="A81" s="88"/>
      <c r="B81" s="104" t="s">
        <v>825</v>
      </c>
      <c r="C81" s="102" t="s">
        <v>826</v>
      </c>
      <c r="D81" s="102" t="s">
        <v>141</v>
      </c>
      <c r="E81" s="105">
        <v>129756</v>
      </c>
      <c r="F81" s="103">
        <v>7913.82</v>
      </c>
      <c r="G81" s="103">
        <v>0.32</v>
      </c>
      <c r="H81" s="103" t="s">
        <v>713</v>
      </c>
      <c r="I81" s="103"/>
    </row>
    <row r="82" spans="1:9">
      <c r="A82" s="88"/>
      <c r="B82" s="104" t="s">
        <v>827</v>
      </c>
      <c r="C82" s="102" t="s">
        <v>828</v>
      </c>
      <c r="D82" s="102" t="s">
        <v>83</v>
      </c>
      <c r="E82" s="105">
        <v>1556153</v>
      </c>
      <c r="F82" s="103">
        <v>7762.87</v>
      </c>
      <c r="G82" s="103">
        <v>0.32</v>
      </c>
      <c r="H82" s="103" t="s">
        <v>713</v>
      </c>
      <c r="I82" s="103"/>
    </row>
    <row r="83" spans="1:9">
      <c r="A83" s="88"/>
      <c r="B83" s="104" t="s">
        <v>829</v>
      </c>
      <c r="C83" s="102" t="s">
        <v>830</v>
      </c>
      <c r="D83" s="102" t="s">
        <v>273</v>
      </c>
      <c r="E83" s="105">
        <v>143810</v>
      </c>
      <c r="F83" s="103">
        <v>6610.23</v>
      </c>
      <c r="G83" s="103">
        <v>0.27</v>
      </c>
      <c r="H83" s="103" t="s">
        <v>703</v>
      </c>
      <c r="I83" s="103"/>
    </row>
    <row r="84" spans="1:9">
      <c r="A84" s="88"/>
      <c r="B84" s="104" t="s">
        <v>831</v>
      </c>
      <c r="C84" s="102" t="s">
        <v>832</v>
      </c>
      <c r="D84" s="102" t="s">
        <v>141</v>
      </c>
      <c r="E84" s="105">
        <v>211889</v>
      </c>
      <c r="F84" s="103">
        <v>5967.43</v>
      </c>
      <c r="G84" s="103">
        <v>0.24</v>
      </c>
      <c r="H84" s="103" t="s">
        <v>707</v>
      </c>
      <c r="I84" s="103"/>
    </row>
    <row r="85" spans="1:9">
      <c r="A85" s="88"/>
      <c r="B85" s="104" t="s">
        <v>833</v>
      </c>
      <c r="C85" s="102" t="s">
        <v>834</v>
      </c>
      <c r="D85" s="102" t="s">
        <v>83</v>
      </c>
      <c r="E85" s="105">
        <v>590361</v>
      </c>
      <c r="F85" s="103">
        <v>5327.42</v>
      </c>
      <c r="G85" s="103">
        <v>0.22</v>
      </c>
      <c r="H85" s="103" t="s">
        <v>713</v>
      </c>
      <c r="I85" s="103"/>
    </row>
    <row r="86" spans="1:9">
      <c r="A86" s="88"/>
      <c r="B86" s="104" t="s">
        <v>835</v>
      </c>
      <c r="C86" s="102" t="s">
        <v>836</v>
      </c>
      <c r="D86" s="102" t="s">
        <v>53</v>
      </c>
      <c r="E86" s="105">
        <v>740200</v>
      </c>
      <c r="F86" s="103">
        <v>5144.76</v>
      </c>
      <c r="G86" s="103">
        <v>0.21</v>
      </c>
      <c r="H86" s="103" t="s">
        <v>713</v>
      </c>
      <c r="I86" s="103"/>
    </row>
    <row r="87" spans="1:9">
      <c r="A87" s="88"/>
      <c r="B87" s="104" t="s">
        <v>837</v>
      </c>
      <c r="C87" s="102" t="s">
        <v>838</v>
      </c>
      <c r="D87" s="102" t="s">
        <v>114</v>
      </c>
      <c r="E87" s="105">
        <v>636406</v>
      </c>
      <c r="F87" s="103">
        <v>5016.47</v>
      </c>
      <c r="G87" s="103">
        <v>0.2</v>
      </c>
      <c r="H87" s="103" t="s">
        <v>713</v>
      </c>
      <c r="I87" s="103"/>
    </row>
    <row r="88" spans="1:9">
      <c r="A88" s="88"/>
      <c r="B88" s="104" t="s">
        <v>839</v>
      </c>
      <c r="C88" s="102" t="s">
        <v>840</v>
      </c>
      <c r="D88" s="102" t="s">
        <v>841</v>
      </c>
      <c r="E88" s="105">
        <v>270047</v>
      </c>
      <c r="F88" s="103">
        <v>4898.92</v>
      </c>
      <c r="G88" s="103">
        <v>0.2</v>
      </c>
      <c r="H88" s="103" t="s">
        <v>707</v>
      </c>
      <c r="I88" s="103"/>
    </row>
    <row r="89" spans="1:9">
      <c r="A89" s="88"/>
      <c r="B89" s="104" t="s">
        <v>842</v>
      </c>
      <c r="C89" s="102" t="s">
        <v>843</v>
      </c>
      <c r="D89" s="102" t="s">
        <v>316</v>
      </c>
      <c r="E89" s="105">
        <v>2757146</v>
      </c>
      <c r="F89" s="103">
        <v>4084.16</v>
      </c>
      <c r="G89" s="103">
        <v>0.17</v>
      </c>
      <c r="H89" s="103" t="s">
        <v>713</v>
      </c>
      <c r="I89" s="103"/>
    </row>
    <row r="90" spans="1:9">
      <c r="A90" s="88"/>
      <c r="B90" s="104" t="s">
        <v>844</v>
      </c>
      <c r="C90" s="102" t="s">
        <v>845</v>
      </c>
      <c r="D90" s="102" t="s">
        <v>117</v>
      </c>
      <c r="E90" s="105">
        <v>139104</v>
      </c>
      <c r="F90" s="103">
        <v>4003.41</v>
      </c>
      <c r="G90" s="103">
        <v>0.16</v>
      </c>
      <c r="H90" s="103" t="s">
        <v>707</v>
      </c>
      <c r="I90" s="103"/>
    </row>
    <row r="91" spans="1:9">
      <c r="A91" s="88"/>
      <c r="B91" s="104" t="s">
        <v>846</v>
      </c>
      <c r="C91" s="102" t="s">
        <v>847</v>
      </c>
      <c r="D91" s="102" t="s">
        <v>83</v>
      </c>
      <c r="E91" s="105">
        <v>839616</v>
      </c>
      <c r="F91" s="103">
        <v>3886.58</v>
      </c>
      <c r="G91" s="103">
        <v>0.16</v>
      </c>
      <c r="H91" s="103" t="s">
        <v>707</v>
      </c>
      <c r="I91" s="103"/>
    </row>
    <row r="92" spans="1:9">
      <c r="A92" s="88"/>
      <c r="B92" s="104" t="s">
        <v>848</v>
      </c>
      <c r="C92" s="102" t="s">
        <v>849</v>
      </c>
      <c r="D92" s="102" t="s">
        <v>850</v>
      </c>
      <c r="E92" s="105">
        <v>596719</v>
      </c>
      <c r="F92" s="103">
        <v>3245.26</v>
      </c>
      <c r="G92" s="103">
        <v>0.13</v>
      </c>
      <c r="H92" s="103" t="s">
        <v>713</v>
      </c>
      <c r="I92" s="103"/>
    </row>
    <row r="93" spans="1:9">
      <c r="A93" s="88"/>
      <c r="B93" s="104" t="s">
        <v>851</v>
      </c>
      <c r="C93" s="102" t="s">
        <v>852</v>
      </c>
      <c r="D93" s="102" t="s">
        <v>273</v>
      </c>
      <c r="E93" s="105">
        <v>584273</v>
      </c>
      <c r="F93" s="103">
        <v>3173.19</v>
      </c>
      <c r="G93" s="103">
        <v>0.13</v>
      </c>
      <c r="H93" s="103" t="s">
        <v>713</v>
      </c>
      <c r="I93" s="103"/>
    </row>
    <row r="94" spans="1:9">
      <c r="A94" s="88"/>
      <c r="B94" s="104" t="s">
        <v>853</v>
      </c>
      <c r="C94" s="102" t="s">
        <v>854</v>
      </c>
      <c r="D94" s="102" t="s">
        <v>141</v>
      </c>
      <c r="E94" s="105">
        <v>188818</v>
      </c>
      <c r="F94" s="103">
        <v>3101.34</v>
      </c>
      <c r="G94" s="103">
        <v>0.13</v>
      </c>
      <c r="H94" s="103" t="s">
        <v>713</v>
      </c>
      <c r="I94" s="103"/>
    </row>
    <row r="95" spans="1:9">
      <c r="A95" s="88"/>
      <c r="B95" s="104" t="s">
        <v>855</v>
      </c>
      <c r="C95" s="102" t="s">
        <v>856</v>
      </c>
      <c r="D95" s="102" t="s">
        <v>850</v>
      </c>
      <c r="E95" s="105">
        <v>3500000</v>
      </c>
      <c r="F95" s="103">
        <v>2953.3</v>
      </c>
      <c r="G95" s="103">
        <v>0.12</v>
      </c>
      <c r="H95" s="103" t="s">
        <v>713</v>
      </c>
      <c r="I95" s="103"/>
    </row>
    <row r="96" spans="1:9">
      <c r="A96" s="88"/>
      <c r="B96" s="104" t="s">
        <v>857</v>
      </c>
      <c r="C96" s="102" t="s">
        <v>858</v>
      </c>
      <c r="D96" s="102" t="s">
        <v>111</v>
      </c>
      <c r="E96" s="105">
        <v>338792</v>
      </c>
      <c r="F96" s="103">
        <v>2396.61</v>
      </c>
      <c r="G96" s="103">
        <v>0.1</v>
      </c>
      <c r="H96" s="103" t="s">
        <v>707</v>
      </c>
      <c r="I96" s="103"/>
    </row>
    <row r="97" spans="1:9">
      <c r="A97" s="88"/>
      <c r="B97" s="104" t="s">
        <v>859</v>
      </c>
      <c r="C97" s="102" t="s">
        <v>148</v>
      </c>
      <c r="D97" s="102" t="s">
        <v>117</v>
      </c>
      <c r="E97" s="105">
        <v>323797</v>
      </c>
      <c r="F97" s="103">
        <v>2331.0100000000002</v>
      </c>
      <c r="G97" s="103">
        <v>0.09</v>
      </c>
      <c r="H97" s="103" t="s">
        <v>707</v>
      </c>
      <c r="I97" s="103"/>
    </row>
    <row r="98" spans="1:9">
      <c r="A98" s="88"/>
      <c r="B98" s="104" t="s">
        <v>860</v>
      </c>
      <c r="C98" s="102" t="s">
        <v>861</v>
      </c>
      <c r="D98" s="102" t="s">
        <v>862</v>
      </c>
      <c r="E98" s="105">
        <v>97776</v>
      </c>
      <c r="F98" s="103">
        <v>2329.02</v>
      </c>
      <c r="G98" s="103">
        <v>0.09</v>
      </c>
      <c r="H98" s="103" t="s">
        <v>713</v>
      </c>
      <c r="I98" s="103"/>
    </row>
    <row r="99" spans="1:9">
      <c r="A99" s="88"/>
      <c r="B99" s="104" t="s">
        <v>863</v>
      </c>
      <c r="C99" s="102" t="s">
        <v>864</v>
      </c>
      <c r="D99" s="102" t="s">
        <v>146</v>
      </c>
      <c r="E99" s="105">
        <v>88572</v>
      </c>
      <c r="F99" s="103">
        <v>1881.27</v>
      </c>
      <c r="G99" s="103">
        <v>0.08</v>
      </c>
      <c r="H99" s="103" t="s">
        <v>707</v>
      </c>
      <c r="I99" s="103"/>
    </row>
    <row r="100" spans="1:9">
      <c r="A100" s="88"/>
      <c r="B100" s="104" t="s">
        <v>865</v>
      </c>
      <c r="C100" s="102" t="s">
        <v>866</v>
      </c>
      <c r="D100" s="102" t="s">
        <v>768</v>
      </c>
      <c r="E100" s="105">
        <v>98600</v>
      </c>
      <c r="F100" s="103">
        <v>1636.66</v>
      </c>
      <c r="G100" s="103">
        <v>7.0000000000000007E-2</v>
      </c>
      <c r="H100" s="103" t="s">
        <v>707</v>
      </c>
      <c r="I100" s="103"/>
    </row>
    <row r="101" spans="1:9">
      <c r="A101" s="88"/>
      <c r="B101" s="104" t="s">
        <v>867</v>
      </c>
      <c r="C101" s="102" t="s">
        <v>868</v>
      </c>
      <c r="D101" s="102" t="s">
        <v>53</v>
      </c>
      <c r="E101" s="105">
        <v>150000</v>
      </c>
      <c r="F101" s="103">
        <v>1317.15</v>
      </c>
      <c r="G101" s="103">
        <v>0.05</v>
      </c>
      <c r="H101" s="103" t="s">
        <v>707</v>
      </c>
      <c r="I101" s="103"/>
    </row>
    <row r="102" spans="1:9">
      <c r="A102" s="88"/>
      <c r="B102" s="104" t="s">
        <v>869</v>
      </c>
      <c r="C102" s="102" t="s">
        <v>870</v>
      </c>
      <c r="D102" s="102" t="s">
        <v>871</v>
      </c>
      <c r="E102" s="105">
        <v>23900</v>
      </c>
      <c r="F102" s="103">
        <v>808.01</v>
      </c>
      <c r="G102" s="103">
        <v>0.03</v>
      </c>
      <c r="H102" s="103" t="s">
        <v>707</v>
      </c>
      <c r="I102" s="103"/>
    </row>
    <row r="103" spans="1:9">
      <c r="A103" s="88"/>
      <c r="B103" s="104" t="s">
        <v>872</v>
      </c>
      <c r="C103" s="102" t="s">
        <v>207</v>
      </c>
      <c r="D103" s="102" t="s">
        <v>168</v>
      </c>
      <c r="E103" s="105">
        <v>22244</v>
      </c>
      <c r="F103" s="103">
        <v>206.7</v>
      </c>
      <c r="G103" s="103">
        <v>0.01</v>
      </c>
      <c r="H103" s="103" t="s">
        <v>703</v>
      </c>
      <c r="I103" s="103"/>
    </row>
    <row r="104" spans="1:9">
      <c r="A104" s="88"/>
      <c r="B104" s="106" t="s">
        <v>90</v>
      </c>
      <c r="C104" s="107"/>
      <c r="D104" s="107"/>
      <c r="E104" s="107"/>
      <c r="F104" s="108">
        <f>SUM(F7:F103)</f>
        <v>2412075.5399999996</v>
      </c>
      <c r="G104" s="108">
        <f>SUM(G7:G103)</f>
        <v>97.889999999999915</v>
      </c>
      <c r="H104" s="108"/>
      <c r="I104" s="108"/>
    </row>
    <row r="105" spans="1:9">
      <c r="A105" s="88"/>
      <c r="B105" s="109" t="s">
        <v>91</v>
      </c>
      <c r="C105" s="109"/>
      <c r="D105" s="109"/>
      <c r="E105" s="109"/>
      <c r="F105" s="110">
        <f>F104</f>
        <v>2412075.5399999996</v>
      </c>
      <c r="G105" s="110">
        <f>G104</f>
        <v>97.889999999999915</v>
      </c>
      <c r="H105" s="111"/>
      <c r="I105" s="111"/>
    </row>
    <row r="106" spans="1:9">
      <c r="A106" s="88"/>
      <c r="B106" s="112" t="s">
        <v>873</v>
      </c>
      <c r="C106" s="99"/>
      <c r="D106" s="99"/>
      <c r="E106" s="99"/>
      <c r="F106" s="100"/>
      <c r="G106" s="100"/>
      <c r="H106" s="100"/>
      <c r="I106" s="100"/>
    </row>
    <row r="107" spans="1:9">
      <c r="A107" s="88"/>
      <c r="B107" s="113" t="s">
        <v>93</v>
      </c>
      <c r="C107" s="102"/>
      <c r="D107" s="102"/>
      <c r="E107" s="102"/>
      <c r="F107" s="103"/>
      <c r="G107" s="103"/>
      <c r="H107" s="103"/>
      <c r="I107" s="103"/>
    </row>
    <row r="108" spans="1:9">
      <c r="A108" s="88"/>
      <c r="B108" s="102" t="s">
        <v>874</v>
      </c>
      <c r="C108" s="102" t="s">
        <v>875</v>
      </c>
      <c r="D108" s="102" t="s">
        <v>573</v>
      </c>
      <c r="E108" s="105">
        <v>12181844</v>
      </c>
      <c r="F108" s="103">
        <v>1245.3900000000001</v>
      </c>
      <c r="G108" s="103">
        <v>0.05</v>
      </c>
      <c r="H108" s="103"/>
      <c r="I108" s="103">
        <v>6.3449999999999989</v>
      </c>
    </row>
    <row r="109" spans="1:9">
      <c r="A109" s="88"/>
      <c r="B109" s="107" t="s">
        <v>90</v>
      </c>
      <c r="C109" s="107"/>
      <c r="D109" s="107"/>
      <c r="E109" s="107"/>
      <c r="F109" s="108">
        <v>1245.3900000000001</v>
      </c>
      <c r="G109" s="108">
        <v>0.05</v>
      </c>
      <c r="H109" s="108"/>
      <c r="I109" s="108"/>
    </row>
    <row r="110" spans="1:9">
      <c r="A110" s="88"/>
      <c r="B110" s="114" t="s">
        <v>91</v>
      </c>
      <c r="C110" s="114"/>
      <c r="D110" s="114"/>
      <c r="E110" s="114"/>
      <c r="F110" s="110">
        <v>1245.3900000000001</v>
      </c>
      <c r="G110" s="110">
        <v>0.05</v>
      </c>
      <c r="H110" s="111"/>
      <c r="I110" s="111"/>
    </row>
    <row r="111" spans="1:9">
      <c r="A111" s="88"/>
      <c r="B111" s="115" t="s">
        <v>876</v>
      </c>
      <c r="C111" s="116"/>
      <c r="D111" s="116"/>
      <c r="E111" s="116"/>
      <c r="F111" s="117"/>
      <c r="G111" s="117"/>
      <c r="H111" s="117"/>
      <c r="I111" s="117"/>
    </row>
    <row r="112" spans="1:9">
      <c r="A112" s="88"/>
      <c r="B112" s="104" t="s">
        <v>876</v>
      </c>
      <c r="C112" s="102"/>
      <c r="D112" s="102"/>
      <c r="E112" s="102"/>
      <c r="F112" s="103">
        <v>53179.23</v>
      </c>
      <c r="G112" s="103">
        <v>2.16</v>
      </c>
      <c r="H112" s="103"/>
      <c r="I112" s="103"/>
    </row>
    <row r="113" spans="1:9">
      <c r="A113" s="88"/>
      <c r="B113" s="106" t="s">
        <v>90</v>
      </c>
      <c r="C113" s="107"/>
      <c r="D113" s="107"/>
      <c r="E113" s="107"/>
      <c r="F113" s="108">
        <f>SUM(F111:F112)</f>
        <v>53179.23</v>
      </c>
      <c r="G113" s="108">
        <f>SUM(G111:G112)</f>
        <v>2.16</v>
      </c>
      <c r="H113" s="118"/>
      <c r="I113" s="118"/>
    </row>
    <row r="114" spans="1:9">
      <c r="A114" s="88"/>
      <c r="B114" s="119" t="s">
        <v>91</v>
      </c>
      <c r="C114" s="119"/>
      <c r="D114" s="119"/>
      <c r="E114" s="119"/>
      <c r="F114" s="120">
        <f>F113</f>
        <v>53179.23</v>
      </c>
      <c r="G114" s="120">
        <f>G113</f>
        <v>2.16</v>
      </c>
      <c r="H114" s="120"/>
      <c r="I114" s="120"/>
    </row>
    <row r="115" spans="1:9">
      <c r="A115" s="88"/>
      <c r="B115" s="121" t="s">
        <v>178</v>
      </c>
      <c r="C115" s="121"/>
      <c r="D115" s="121"/>
      <c r="E115" s="121"/>
      <c r="F115" s="122">
        <f>F116-(+F105+F114+F110)</f>
        <v>-2133.0499999998137</v>
      </c>
      <c r="G115" s="122">
        <f>G116-(+G105+G114+G110)</f>
        <v>-9.9999999999909051E-2</v>
      </c>
      <c r="H115" s="122"/>
      <c r="I115" s="122"/>
    </row>
    <row r="116" spans="1:9">
      <c r="A116" s="88"/>
      <c r="B116" s="121" t="s">
        <v>877</v>
      </c>
      <c r="C116" s="121"/>
      <c r="D116" s="121"/>
      <c r="E116" s="121"/>
      <c r="F116" s="122">
        <v>2464367.11</v>
      </c>
      <c r="G116" s="122">
        <v>100</v>
      </c>
      <c r="H116" s="122"/>
      <c r="I116" s="122"/>
    </row>
  </sheetData>
  <mergeCells count="1">
    <mergeCell ref="B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A5A6-1CE1-A544-A168-735512AF8448}">
  <dimension ref="A1:H132"/>
  <sheetViews>
    <sheetView workbookViewId="0">
      <selection activeCell="O14" sqref="O14"/>
    </sheetView>
  </sheetViews>
  <sheetFormatPr baseColWidth="10" defaultRowHeight="16"/>
  <sheetData>
    <row r="1" spans="1:8" ht="17" thickBot="1">
      <c r="A1" s="123"/>
      <c r="B1" s="258" t="s">
        <v>878</v>
      </c>
      <c r="C1" s="259"/>
      <c r="D1" s="259"/>
      <c r="E1" s="260"/>
      <c r="F1" s="261"/>
      <c r="G1" s="262"/>
      <c r="H1" s="262"/>
    </row>
    <row r="2" spans="1:8">
      <c r="A2" s="123"/>
      <c r="B2" s="263"/>
      <c r="C2" s="263"/>
      <c r="D2" s="263"/>
      <c r="E2" s="264"/>
      <c r="F2" s="265"/>
      <c r="G2" s="266"/>
      <c r="H2" s="266"/>
    </row>
    <row r="3" spans="1:8" ht="17" thickBot="1">
      <c r="A3" s="123"/>
      <c r="B3" s="267" t="s">
        <v>879</v>
      </c>
      <c r="C3" s="268"/>
      <c r="D3" s="268"/>
      <c r="E3" s="269"/>
      <c r="F3" s="270"/>
      <c r="G3" s="271"/>
      <c r="H3" s="271"/>
    </row>
    <row r="4" spans="1:8" ht="17" thickBot="1">
      <c r="A4" s="123"/>
      <c r="B4" s="259"/>
      <c r="C4" s="259"/>
      <c r="D4" s="259"/>
      <c r="E4" s="260"/>
      <c r="F4" s="261"/>
      <c r="G4" s="262"/>
      <c r="H4" s="262"/>
    </row>
    <row r="5" spans="1:8">
      <c r="A5" s="124"/>
      <c r="B5" s="125" t="s">
        <v>878</v>
      </c>
      <c r="C5" s="126" t="s">
        <v>880</v>
      </c>
      <c r="D5" s="123"/>
      <c r="E5" s="127">
        <v>46053</v>
      </c>
      <c r="F5" s="128"/>
      <c r="G5" s="129"/>
      <c r="H5" s="129"/>
    </row>
    <row r="6" spans="1:8">
      <c r="A6" s="123"/>
      <c r="B6" s="130"/>
      <c r="C6" s="131"/>
      <c r="D6" s="123"/>
      <c r="E6" s="132"/>
      <c r="F6" s="133"/>
      <c r="G6" s="134"/>
      <c r="H6" s="134"/>
    </row>
    <row r="7" spans="1:8" ht="17" thickBot="1">
      <c r="A7" s="124"/>
      <c r="B7" s="125" t="s">
        <v>199</v>
      </c>
      <c r="C7" s="123"/>
      <c r="D7" s="125"/>
      <c r="E7" s="135"/>
      <c r="F7" s="128"/>
      <c r="G7" s="136"/>
      <c r="H7" s="136"/>
    </row>
    <row r="8" spans="1:8" ht="39">
      <c r="A8" s="123"/>
      <c r="B8" s="137" t="s">
        <v>3</v>
      </c>
      <c r="C8" s="138" t="s">
        <v>4</v>
      </c>
      <c r="D8" s="138" t="s">
        <v>881</v>
      </c>
      <c r="E8" s="139" t="s">
        <v>6</v>
      </c>
      <c r="F8" s="140" t="s">
        <v>882</v>
      </c>
      <c r="G8" s="141" t="s">
        <v>8</v>
      </c>
      <c r="H8" s="142" t="s">
        <v>883</v>
      </c>
    </row>
    <row r="9" spans="1:8">
      <c r="A9" s="143"/>
      <c r="B9" s="144" t="s">
        <v>884</v>
      </c>
      <c r="C9" s="145"/>
      <c r="D9" s="145"/>
      <c r="E9" s="146"/>
      <c r="F9" s="147"/>
      <c r="G9" s="148"/>
      <c r="H9" s="149"/>
    </row>
    <row r="10" spans="1:8">
      <c r="A10" s="123"/>
      <c r="B10" s="150" t="s">
        <v>93</v>
      </c>
      <c r="C10" s="145"/>
      <c r="D10" s="145"/>
      <c r="E10" s="146"/>
      <c r="F10" s="147"/>
      <c r="G10" s="148"/>
      <c r="H10" s="149"/>
    </row>
    <row r="11" spans="1:8">
      <c r="A11" s="131" t="s">
        <v>885</v>
      </c>
      <c r="B11" s="151" t="s">
        <v>886</v>
      </c>
      <c r="C11" s="145" t="s">
        <v>207</v>
      </c>
      <c r="D11" s="145" t="s">
        <v>168</v>
      </c>
      <c r="E11" s="146">
        <v>31228824</v>
      </c>
      <c r="F11" s="147">
        <v>290193.84999999998</v>
      </c>
      <c r="G11" s="148">
        <v>6.8644427824559998E-2</v>
      </c>
      <c r="H11" s="149"/>
    </row>
    <row r="12" spans="1:8">
      <c r="A12" s="131" t="s">
        <v>887</v>
      </c>
      <c r="B12" s="151" t="s">
        <v>888</v>
      </c>
      <c r="C12" s="145" t="s">
        <v>222</v>
      </c>
      <c r="D12" s="145" t="s">
        <v>168</v>
      </c>
      <c r="E12" s="146">
        <v>12919750</v>
      </c>
      <c r="F12" s="147">
        <v>175062.61</v>
      </c>
      <c r="G12" s="148">
        <v>4.1410501952190003E-2</v>
      </c>
      <c r="H12" s="149"/>
    </row>
    <row r="13" spans="1:8">
      <c r="A13" s="131" t="s">
        <v>889</v>
      </c>
      <c r="B13" s="151" t="s">
        <v>890</v>
      </c>
      <c r="C13" s="145" t="s">
        <v>234</v>
      </c>
      <c r="D13" s="145" t="s">
        <v>168</v>
      </c>
      <c r="E13" s="146">
        <v>12277395</v>
      </c>
      <c r="F13" s="147">
        <v>168249.42</v>
      </c>
      <c r="G13" s="148">
        <v>3.9798863278639997E-2</v>
      </c>
      <c r="H13" s="149"/>
    </row>
    <row r="14" spans="1:8">
      <c r="A14" s="131" t="s">
        <v>891</v>
      </c>
      <c r="B14" s="151" t="s">
        <v>302</v>
      </c>
      <c r="C14" s="145" t="s">
        <v>303</v>
      </c>
      <c r="D14" s="145" t="s">
        <v>168</v>
      </c>
      <c r="E14" s="146">
        <v>13215164</v>
      </c>
      <c r="F14" s="147">
        <v>142347.14000000001</v>
      </c>
      <c r="G14" s="148">
        <v>3.3671761173589998E-2</v>
      </c>
      <c r="H14" s="149"/>
    </row>
    <row r="15" spans="1:8">
      <c r="A15" s="131" t="s">
        <v>892</v>
      </c>
      <c r="B15" s="151" t="s">
        <v>893</v>
      </c>
      <c r="C15" s="145" t="s">
        <v>15</v>
      </c>
      <c r="D15" s="145" t="s">
        <v>13</v>
      </c>
      <c r="E15" s="146">
        <v>3545373</v>
      </c>
      <c r="F15" s="147">
        <v>110753.91</v>
      </c>
      <c r="G15" s="148">
        <v>2.619848306059E-2</v>
      </c>
      <c r="H15" s="149"/>
    </row>
    <row r="16" spans="1:8">
      <c r="A16" s="131" t="s">
        <v>894</v>
      </c>
      <c r="B16" s="151" t="s">
        <v>895</v>
      </c>
      <c r="C16" s="145" t="s">
        <v>315</v>
      </c>
      <c r="D16" s="145" t="s">
        <v>316</v>
      </c>
      <c r="E16" s="146">
        <v>2558365</v>
      </c>
      <c r="F16" s="147">
        <v>100602.59</v>
      </c>
      <c r="G16" s="148">
        <v>2.3797220671610001E-2</v>
      </c>
      <c r="H16" s="149"/>
    </row>
    <row r="17" spans="1:8">
      <c r="A17" s="131" t="s">
        <v>896</v>
      </c>
      <c r="B17" s="151" t="s">
        <v>897</v>
      </c>
      <c r="C17" s="145" t="s">
        <v>381</v>
      </c>
      <c r="D17" s="145" t="s">
        <v>146</v>
      </c>
      <c r="E17" s="146">
        <v>4388151</v>
      </c>
      <c r="F17" s="147">
        <v>94468.11</v>
      </c>
      <c r="G17" s="148">
        <v>2.2346130869970001E-2</v>
      </c>
      <c r="H17" s="149"/>
    </row>
    <row r="18" spans="1:8">
      <c r="A18" s="131" t="s">
        <v>898</v>
      </c>
      <c r="B18" s="151" t="s">
        <v>899</v>
      </c>
      <c r="C18" s="145" t="s">
        <v>167</v>
      </c>
      <c r="D18" s="145" t="s">
        <v>168</v>
      </c>
      <c r="E18" s="146">
        <v>10471053</v>
      </c>
      <c r="F18" s="147">
        <v>93831.11</v>
      </c>
      <c r="G18" s="148">
        <v>2.2195448473699999E-2</v>
      </c>
      <c r="H18" s="149"/>
    </row>
    <row r="19" spans="1:8">
      <c r="A19" s="131" t="s">
        <v>900</v>
      </c>
      <c r="B19" s="151" t="s">
        <v>901</v>
      </c>
      <c r="C19" s="145" t="s">
        <v>902</v>
      </c>
      <c r="D19" s="145" t="s">
        <v>120</v>
      </c>
      <c r="E19" s="146">
        <v>1517623</v>
      </c>
      <c r="F19" s="147">
        <v>83985.26</v>
      </c>
      <c r="G19" s="148">
        <v>1.9866444307180001E-2</v>
      </c>
      <c r="H19" s="149"/>
    </row>
    <row r="20" spans="1:8">
      <c r="A20" s="131" t="s">
        <v>903</v>
      </c>
      <c r="B20" s="151" t="s">
        <v>904</v>
      </c>
      <c r="C20" s="145" t="s">
        <v>760</v>
      </c>
      <c r="D20" s="145" t="s">
        <v>136</v>
      </c>
      <c r="E20" s="146">
        <v>5668866</v>
      </c>
      <c r="F20" s="147">
        <v>81711.03</v>
      </c>
      <c r="G20" s="148">
        <v>1.932848428542E-2</v>
      </c>
      <c r="H20" s="149"/>
    </row>
    <row r="21" spans="1:8">
      <c r="A21" s="131" t="s">
        <v>905</v>
      </c>
      <c r="B21" s="151" t="s">
        <v>906</v>
      </c>
      <c r="C21" s="145" t="s">
        <v>12</v>
      </c>
      <c r="D21" s="145" t="s">
        <v>13</v>
      </c>
      <c r="E21" s="146">
        <v>4975669</v>
      </c>
      <c r="F21" s="147">
        <v>81650.73</v>
      </c>
      <c r="G21" s="148">
        <v>1.9314219038350001E-2</v>
      </c>
      <c r="H21" s="149"/>
    </row>
    <row r="22" spans="1:8">
      <c r="A22" s="131" t="s">
        <v>907</v>
      </c>
      <c r="B22" s="151" t="s">
        <v>908</v>
      </c>
      <c r="C22" s="145" t="s">
        <v>909</v>
      </c>
      <c r="D22" s="145" t="s">
        <v>146</v>
      </c>
      <c r="E22" s="146">
        <v>8157871</v>
      </c>
      <c r="F22" s="147">
        <v>78723.460000000006</v>
      </c>
      <c r="G22" s="148">
        <v>1.862178192487E-2</v>
      </c>
      <c r="H22" s="149"/>
    </row>
    <row r="23" spans="1:8">
      <c r="A23" s="131" t="s">
        <v>910</v>
      </c>
      <c r="B23" s="151" t="s">
        <v>911</v>
      </c>
      <c r="C23" s="145" t="s">
        <v>912</v>
      </c>
      <c r="D23" s="145" t="s">
        <v>273</v>
      </c>
      <c r="E23" s="146">
        <v>18501556</v>
      </c>
      <c r="F23" s="147">
        <v>78252.33</v>
      </c>
      <c r="G23" s="148">
        <v>1.8510339035769999E-2</v>
      </c>
      <c r="H23" s="149"/>
    </row>
    <row r="24" spans="1:8">
      <c r="A24" s="131" t="s">
        <v>913</v>
      </c>
      <c r="B24" s="151" t="s">
        <v>914</v>
      </c>
      <c r="C24" s="145" t="s">
        <v>22</v>
      </c>
      <c r="D24" s="145" t="s">
        <v>23</v>
      </c>
      <c r="E24" s="146">
        <v>27274545</v>
      </c>
      <c r="F24" s="147">
        <v>74623.16</v>
      </c>
      <c r="G24" s="148">
        <v>1.7651869046429999E-2</v>
      </c>
      <c r="H24" s="149"/>
    </row>
    <row r="25" spans="1:8">
      <c r="A25" s="131" t="s">
        <v>915</v>
      </c>
      <c r="B25" s="151" t="s">
        <v>916</v>
      </c>
      <c r="C25" s="145" t="s">
        <v>298</v>
      </c>
      <c r="D25" s="145" t="s">
        <v>299</v>
      </c>
      <c r="E25" s="146">
        <v>5230704</v>
      </c>
      <c r="F25" s="147">
        <v>72989.240000000005</v>
      </c>
      <c r="G25" s="148">
        <v>1.7265372497790001E-2</v>
      </c>
      <c r="H25" s="149"/>
    </row>
    <row r="26" spans="1:8">
      <c r="A26" s="131" t="s">
        <v>917</v>
      </c>
      <c r="B26" s="151" t="s">
        <v>918</v>
      </c>
      <c r="C26" s="145" t="s">
        <v>126</v>
      </c>
      <c r="D26" s="145" t="s">
        <v>127</v>
      </c>
      <c r="E26" s="146">
        <v>4878505</v>
      </c>
      <c r="F26" s="147">
        <v>71299.350000000006</v>
      </c>
      <c r="G26" s="148">
        <v>1.6865633695350001E-2</v>
      </c>
      <c r="H26" s="149"/>
    </row>
    <row r="27" spans="1:8">
      <c r="A27" s="131" t="s">
        <v>919</v>
      </c>
      <c r="B27" s="151" t="s">
        <v>920</v>
      </c>
      <c r="C27" s="145" t="s">
        <v>218</v>
      </c>
      <c r="D27" s="145" t="s">
        <v>219</v>
      </c>
      <c r="E27" s="146">
        <v>21020197</v>
      </c>
      <c r="F27" s="147">
        <v>67716.56</v>
      </c>
      <c r="G27" s="148">
        <v>1.6018137122419999E-2</v>
      </c>
      <c r="H27" s="149"/>
    </row>
    <row r="28" spans="1:8">
      <c r="A28" s="131" t="s">
        <v>921</v>
      </c>
      <c r="B28" s="151" t="s">
        <v>922</v>
      </c>
      <c r="C28" s="145" t="s">
        <v>830</v>
      </c>
      <c r="D28" s="145" t="s">
        <v>273</v>
      </c>
      <c r="E28" s="146">
        <v>1451957</v>
      </c>
      <c r="F28" s="147">
        <v>66739.199999999997</v>
      </c>
      <c r="G28" s="148">
        <v>1.5786945468050002E-2</v>
      </c>
      <c r="H28" s="149"/>
    </row>
    <row r="29" spans="1:8">
      <c r="A29" s="131" t="s">
        <v>923</v>
      </c>
      <c r="B29" s="151" t="s">
        <v>924</v>
      </c>
      <c r="C29" s="145" t="s">
        <v>925</v>
      </c>
      <c r="D29" s="145" t="s">
        <v>20</v>
      </c>
      <c r="E29" s="146">
        <v>4232839</v>
      </c>
      <c r="F29" s="147">
        <v>66476.740000000005</v>
      </c>
      <c r="G29" s="148">
        <v>1.5724859734980001E-2</v>
      </c>
      <c r="H29" s="149"/>
    </row>
    <row r="30" spans="1:8">
      <c r="A30" s="131" t="s">
        <v>926</v>
      </c>
      <c r="B30" s="151" t="s">
        <v>927</v>
      </c>
      <c r="C30" s="145" t="s">
        <v>29</v>
      </c>
      <c r="D30" s="145" t="s">
        <v>23</v>
      </c>
      <c r="E30" s="146">
        <v>21282888</v>
      </c>
      <c r="F30" s="147">
        <v>65923.75</v>
      </c>
      <c r="G30" s="148">
        <v>1.5594051499920001E-2</v>
      </c>
      <c r="H30" s="149"/>
    </row>
    <row r="31" spans="1:8">
      <c r="A31" s="131" t="s">
        <v>928</v>
      </c>
      <c r="B31" s="151" t="s">
        <v>929</v>
      </c>
      <c r="C31" s="145" t="s">
        <v>930</v>
      </c>
      <c r="D31" s="145" t="s">
        <v>353</v>
      </c>
      <c r="E31" s="146">
        <v>3059154</v>
      </c>
      <c r="F31" s="147">
        <v>63186.83</v>
      </c>
      <c r="G31" s="148">
        <v>1.494664188244E-2</v>
      </c>
      <c r="H31" s="149"/>
    </row>
    <row r="32" spans="1:8">
      <c r="A32" s="131" t="s">
        <v>931</v>
      </c>
      <c r="B32" s="151" t="s">
        <v>932</v>
      </c>
      <c r="C32" s="145" t="s">
        <v>47</v>
      </c>
      <c r="D32" s="145" t="s">
        <v>48</v>
      </c>
      <c r="E32" s="146">
        <v>3722335</v>
      </c>
      <c r="F32" s="147">
        <v>61586.03</v>
      </c>
      <c r="G32" s="148">
        <v>1.4567979340389999E-2</v>
      </c>
      <c r="H32" s="149"/>
    </row>
    <row r="33" spans="1:8">
      <c r="A33" s="131" t="s">
        <v>933</v>
      </c>
      <c r="B33" s="151" t="s">
        <v>934</v>
      </c>
      <c r="C33" s="145" t="s">
        <v>935</v>
      </c>
      <c r="D33" s="145" t="s">
        <v>111</v>
      </c>
      <c r="E33" s="146">
        <v>21286554</v>
      </c>
      <c r="F33" s="147">
        <v>60954.05</v>
      </c>
      <c r="G33" s="148">
        <v>1.441848526042E-2</v>
      </c>
      <c r="H33" s="149"/>
    </row>
    <row r="34" spans="1:8">
      <c r="A34" s="131" t="s">
        <v>936</v>
      </c>
      <c r="B34" s="151" t="s">
        <v>937</v>
      </c>
      <c r="C34" s="145" t="s">
        <v>938</v>
      </c>
      <c r="D34" s="145" t="s">
        <v>120</v>
      </c>
      <c r="E34" s="146">
        <v>17411769</v>
      </c>
      <c r="F34" s="147">
        <v>60949.9</v>
      </c>
      <c r="G34" s="148">
        <v>1.441750359247E-2</v>
      </c>
      <c r="H34" s="149"/>
    </row>
    <row r="35" spans="1:8">
      <c r="A35" s="131" t="s">
        <v>939</v>
      </c>
      <c r="B35" s="151" t="s">
        <v>940</v>
      </c>
      <c r="C35" s="145" t="s">
        <v>706</v>
      </c>
      <c r="D35" s="145" t="s">
        <v>168</v>
      </c>
      <c r="E35" s="146">
        <v>20822648</v>
      </c>
      <c r="F35" s="147">
        <v>59917.17</v>
      </c>
      <c r="G35" s="148">
        <v>1.4173215137630001E-2</v>
      </c>
      <c r="H35" s="149"/>
    </row>
    <row r="36" spans="1:8">
      <c r="A36" s="131" t="s">
        <v>941</v>
      </c>
      <c r="B36" s="151" t="s">
        <v>942</v>
      </c>
      <c r="C36" s="145" t="s">
        <v>943</v>
      </c>
      <c r="D36" s="145" t="s">
        <v>13</v>
      </c>
      <c r="E36" s="146">
        <v>24447647</v>
      </c>
      <c r="F36" s="147">
        <v>57916.480000000003</v>
      </c>
      <c r="G36" s="148">
        <v>1.369995738993E-2</v>
      </c>
      <c r="H36" s="149"/>
    </row>
    <row r="37" spans="1:8">
      <c r="A37" s="131" t="s">
        <v>944</v>
      </c>
      <c r="B37" s="151" t="s">
        <v>945</v>
      </c>
      <c r="C37" s="145" t="s">
        <v>946</v>
      </c>
      <c r="D37" s="145" t="s">
        <v>146</v>
      </c>
      <c r="E37" s="146">
        <v>3110648</v>
      </c>
      <c r="F37" s="147">
        <v>57441.23</v>
      </c>
      <c r="G37" s="148">
        <v>1.358753857329E-2</v>
      </c>
      <c r="H37" s="149"/>
    </row>
    <row r="38" spans="1:8">
      <c r="A38" s="131" t="s">
        <v>947</v>
      </c>
      <c r="B38" s="151" t="s">
        <v>948</v>
      </c>
      <c r="C38" s="145" t="s">
        <v>949</v>
      </c>
      <c r="D38" s="145" t="s">
        <v>136</v>
      </c>
      <c r="E38" s="146">
        <v>1521556</v>
      </c>
      <c r="F38" s="147">
        <v>57237.89</v>
      </c>
      <c r="G38" s="148">
        <v>1.3539440952839999E-2</v>
      </c>
      <c r="H38" s="149"/>
    </row>
    <row r="39" spans="1:8">
      <c r="A39" s="131" t="s">
        <v>950</v>
      </c>
      <c r="B39" s="151" t="s">
        <v>951</v>
      </c>
      <c r="C39" s="145" t="s">
        <v>311</v>
      </c>
      <c r="D39" s="145" t="s">
        <v>312</v>
      </c>
      <c r="E39" s="146">
        <v>29200954</v>
      </c>
      <c r="F39" s="147">
        <v>56395.8</v>
      </c>
      <c r="G39" s="148">
        <v>1.3340246980910001E-2</v>
      </c>
      <c r="H39" s="149"/>
    </row>
    <row r="40" spans="1:8">
      <c r="A40" s="131" t="s">
        <v>952</v>
      </c>
      <c r="B40" s="151" t="s">
        <v>953</v>
      </c>
      <c r="C40" s="145" t="s">
        <v>734</v>
      </c>
      <c r="D40" s="145" t="s">
        <v>735</v>
      </c>
      <c r="E40" s="146">
        <v>1684238</v>
      </c>
      <c r="F40" s="147">
        <v>53818.14</v>
      </c>
      <c r="G40" s="148">
        <v>1.273050940615E-2</v>
      </c>
      <c r="H40" s="149"/>
    </row>
    <row r="41" spans="1:8">
      <c r="A41" s="131" t="s">
        <v>954</v>
      </c>
      <c r="B41" s="151" t="s">
        <v>955</v>
      </c>
      <c r="C41" s="145" t="s">
        <v>265</v>
      </c>
      <c r="D41" s="145" t="s">
        <v>266</v>
      </c>
      <c r="E41" s="146">
        <v>3041639</v>
      </c>
      <c r="F41" s="147">
        <v>53773.14</v>
      </c>
      <c r="G41" s="148">
        <v>1.271986357667E-2</v>
      </c>
      <c r="H41" s="149"/>
    </row>
    <row r="42" spans="1:8">
      <c r="A42" s="131" t="s">
        <v>956</v>
      </c>
      <c r="B42" s="151" t="s">
        <v>957</v>
      </c>
      <c r="C42" s="145" t="s">
        <v>418</v>
      </c>
      <c r="D42" s="145" t="s">
        <v>345</v>
      </c>
      <c r="E42" s="146">
        <v>3822539</v>
      </c>
      <c r="F42" s="147">
        <v>52085.919999999998</v>
      </c>
      <c r="G42" s="148">
        <v>1.2320757199619999E-2</v>
      </c>
      <c r="H42" s="149"/>
    </row>
    <row r="43" spans="1:8">
      <c r="A43" s="131" t="s">
        <v>958</v>
      </c>
      <c r="B43" s="151" t="s">
        <v>959</v>
      </c>
      <c r="C43" s="145" t="s">
        <v>960</v>
      </c>
      <c r="D43" s="145" t="s">
        <v>841</v>
      </c>
      <c r="E43" s="146">
        <v>15528817</v>
      </c>
      <c r="F43" s="147">
        <v>50398.78</v>
      </c>
      <c r="G43" s="148">
        <v>1.1921669421420001E-2</v>
      </c>
      <c r="H43" s="149"/>
    </row>
    <row r="44" spans="1:8">
      <c r="A44" s="131" t="s">
        <v>961</v>
      </c>
      <c r="B44" s="151" t="s">
        <v>962</v>
      </c>
      <c r="C44" s="145" t="s">
        <v>963</v>
      </c>
      <c r="D44" s="145" t="s">
        <v>434</v>
      </c>
      <c r="E44" s="146">
        <v>16261673</v>
      </c>
      <c r="F44" s="147">
        <v>49533.06</v>
      </c>
      <c r="G44" s="148">
        <v>1.1716886210910001E-2</v>
      </c>
      <c r="H44" s="149"/>
    </row>
    <row r="45" spans="1:8">
      <c r="A45" s="131" t="s">
        <v>964</v>
      </c>
      <c r="B45" s="151" t="s">
        <v>965</v>
      </c>
      <c r="C45" s="145" t="s">
        <v>966</v>
      </c>
      <c r="D45" s="145" t="s">
        <v>211</v>
      </c>
      <c r="E45" s="146">
        <v>13382186</v>
      </c>
      <c r="F45" s="147">
        <v>47640.58</v>
      </c>
      <c r="G45" s="148">
        <v>1.126922757731E-2</v>
      </c>
      <c r="H45" s="149"/>
    </row>
    <row r="46" spans="1:8">
      <c r="A46" s="131" t="s">
        <v>967</v>
      </c>
      <c r="B46" s="151" t="s">
        <v>968</v>
      </c>
      <c r="C46" s="145" t="s">
        <v>969</v>
      </c>
      <c r="D46" s="145" t="s">
        <v>266</v>
      </c>
      <c r="E46" s="146">
        <v>684370</v>
      </c>
      <c r="F46" s="147">
        <v>47635.57</v>
      </c>
      <c r="G46" s="148">
        <v>1.126804287757E-2</v>
      </c>
      <c r="H46" s="149"/>
    </row>
    <row r="47" spans="1:8">
      <c r="A47" s="131" t="s">
        <v>970</v>
      </c>
      <c r="B47" s="151" t="s">
        <v>971</v>
      </c>
      <c r="C47" s="145" t="s">
        <v>430</v>
      </c>
      <c r="D47" s="145" t="s">
        <v>312</v>
      </c>
      <c r="E47" s="146">
        <v>30810967</v>
      </c>
      <c r="F47" s="147">
        <v>46564.61</v>
      </c>
      <c r="G47" s="148">
        <v>1.1014710846019999E-2</v>
      </c>
      <c r="H47" s="149"/>
    </row>
    <row r="48" spans="1:8">
      <c r="A48" s="131" t="s">
        <v>972</v>
      </c>
      <c r="B48" s="151" t="s">
        <v>973</v>
      </c>
      <c r="C48" s="145" t="s">
        <v>974</v>
      </c>
      <c r="D48" s="145" t="s">
        <v>53</v>
      </c>
      <c r="E48" s="146">
        <v>1815266</v>
      </c>
      <c r="F48" s="147">
        <v>45666.65</v>
      </c>
      <c r="G48" s="148">
        <v>1.0802299462360001E-2</v>
      </c>
      <c r="H48" s="149"/>
    </row>
    <row r="49" spans="1:8">
      <c r="A49" s="131" t="s">
        <v>975</v>
      </c>
      <c r="B49" s="151" t="s">
        <v>976</v>
      </c>
      <c r="C49" s="145" t="s">
        <v>977</v>
      </c>
      <c r="D49" s="145" t="s">
        <v>23</v>
      </c>
      <c r="E49" s="146">
        <v>18851468</v>
      </c>
      <c r="F49" s="147">
        <v>44772.24</v>
      </c>
      <c r="G49" s="148">
        <v>1.059072957104E-2</v>
      </c>
      <c r="H49" s="149"/>
    </row>
    <row r="50" spans="1:8">
      <c r="A50" s="131" t="s">
        <v>978</v>
      </c>
      <c r="B50" s="151" t="s">
        <v>979</v>
      </c>
      <c r="C50" s="145" t="s">
        <v>858</v>
      </c>
      <c r="D50" s="145" t="s">
        <v>111</v>
      </c>
      <c r="E50" s="146">
        <v>6188203</v>
      </c>
      <c r="F50" s="147">
        <v>43775.35</v>
      </c>
      <c r="G50" s="148">
        <v>1.035491878497E-2</v>
      </c>
      <c r="H50" s="149"/>
    </row>
    <row r="51" spans="1:8">
      <c r="A51" s="131" t="s">
        <v>980</v>
      </c>
      <c r="B51" s="151" t="s">
        <v>981</v>
      </c>
      <c r="C51" s="145" t="s">
        <v>228</v>
      </c>
      <c r="D51" s="145" t="s">
        <v>168</v>
      </c>
      <c r="E51" s="146">
        <v>10566250</v>
      </c>
      <c r="F51" s="147">
        <v>43110.3</v>
      </c>
      <c r="G51" s="148">
        <v>1.0197603799099999E-2</v>
      </c>
      <c r="H51" s="149"/>
    </row>
    <row r="52" spans="1:8">
      <c r="A52" s="131" t="s">
        <v>982</v>
      </c>
      <c r="B52" s="151" t="s">
        <v>983</v>
      </c>
      <c r="C52" s="145" t="s">
        <v>781</v>
      </c>
      <c r="D52" s="145" t="s">
        <v>83</v>
      </c>
      <c r="E52" s="146">
        <v>4897607</v>
      </c>
      <c r="F52" s="147">
        <v>42124.32</v>
      </c>
      <c r="G52" s="148">
        <v>9.9643728599200006E-3</v>
      </c>
      <c r="H52" s="149"/>
    </row>
    <row r="53" spans="1:8">
      <c r="A53" s="131" t="s">
        <v>984</v>
      </c>
      <c r="B53" s="151" t="s">
        <v>985</v>
      </c>
      <c r="C53" s="145" t="s">
        <v>421</v>
      </c>
      <c r="D53" s="145" t="s">
        <v>211</v>
      </c>
      <c r="E53" s="146">
        <v>11471945</v>
      </c>
      <c r="F53" s="147">
        <v>42021.73</v>
      </c>
      <c r="G53" s="148">
        <v>9.9401071145100005E-3</v>
      </c>
      <c r="H53" s="149"/>
    </row>
    <row r="54" spans="1:8">
      <c r="A54" s="131" t="s">
        <v>986</v>
      </c>
      <c r="B54" s="151" t="s">
        <v>987</v>
      </c>
      <c r="C54" s="145" t="s">
        <v>817</v>
      </c>
      <c r="D54" s="145" t="s">
        <v>273</v>
      </c>
      <c r="E54" s="146">
        <v>8146502</v>
      </c>
      <c r="F54" s="147">
        <v>40915.81</v>
      </c>
      <c r="G54" s="148">
        <v>9.67850332094E-3</v>
      </c>
      <c r="H54" s="149"/>
    </row>
    <row r="55" spans="1:8">
      <c r="A55" s="131" t="s">
        <v>988</v>
      </c>
      <c r="B55" s="151" t="s">
        <v>989</v>
      </c>
      <c r="C55" s="145" t="s">
        <v>327</v>
      </c>
      <c r="D55" s="145" t="s">
        <v>146</v>
      </c>
      <c r="E55" s="146">
        <v>2493363</v>
      </c>
      <c r="F55" s="147">
        <v>39776.620000000003</v>
      </c>
      <c r="G55" s="148">
        <v>9.4090324262399994E-3</v>
      </c>
      <c r="H55" s="149"/>
    </row>
    <row r="56" spans="1:8">
      <c r="A56" s="131" t="s">
        <v>990</v>
      </c>
      <c r="B56" s="151" t="s">
        <v>991</v>
      </c>
      <c r="C56" s="145" t="s">
        <v>992</v>
      </c>
      <c r="D56" s="145" t="s">
        <v>83</v>
      </c>
      <c r="E56" s="146">
        <v>2830461</v>
      </c>
      <c r="F56" s="147">
        <v>37585.69</v>
      </c>
      <c r="G56" s="148">
        <v>8.8907753285300001E-3</v>
      </c>
      <c r="H56" s="149"/>
    </row>
    <row r="57" spans="1:8">
      <c r="A57" s="131" t="s">
        <v>993</v>
      </c>
      <c r="B57" s="151" t="s">
        <v>994</v>
      </c>
      <c r="C57" s="145" t="s">
        <v>995</v>
      </c>
      <c r="D57" s="145" t="s">
        <v>114</v>
      </c>
      <c r="E57" s="146">
        <v>1379473</v>
      </c>
      <c r="F57" s="147">
        <v>37534.080000000002</v>
      </c>
      <c r="G57" s="148">
        <v>8.8785669675900004E-3</v>
      </c>
      <c r="H57" s="149"/>
    </row>
    <row r="58" spans="1:8">
      <c r="A58" s="131" t="s">
        <v>996</v>
      </c>
      <c r="B58" s="151" t="s">
        <v>997</v>
      </c>
      <c r="C58" s="145" t="s">
        <v>19</v>
      </c>
      <c r="D58" s="145" t="s">
        <v>20</v>
      </c>
      <c r="E58" s="146">
        <v>1887454</v>
      </c>
      <c r="F58" s="147">
        <v>37158.31</v>
      </c>
      <c r="G58" s="148">
        <v>8.7896788375599992E-3</v>
      </c>
      <c r="H58" s="149"/>
    </row>
    <row r="59" spans="1:8">
      <c r="A59" s="131" t="s">
        <v>998</v>
      </c>
      <c r="B59" s="151" t="s">
        <v>999</v>
      </c>
      <c r="C59" s="145" t="s">
        <v>787</v>
      </c>
      <c r="D59" s="145" t="s">
        <v>83</v>
      </c>
      <c r="E59" s="146">
        <v>15613671</v>
      </c>
      <c r="F59" s="147">
        <v>34576.47</v>
      </c>
      <c r="G59" s="148">
        <v>8.1789546118100007E-3</v>
      </c>
      <c r="H59" s="149"/>
    </row>
    <row r="60" spans="1:8">
      <c r="A60" s="131" t="s">
        <v>1000</v>
      </c>
      <c r="B60" s="151" t="s">
        <v>1001</v>
      </c>
      <c r="C60" s="145" t="s">
        <v>390</v>
      </c>
      <c r="D60" s="145" t="s">
        <v>299</v>
      </c>
      <c r="E60" s="146">
        <v>7625695</v>
      </c>
      <c r="F60" s="147">
        <v>32561.72</v>
      </c>
      <c r="G60" s="148">
        <v>7.7023703294299998E-3</v>
      </c>
      <c r="H60" s="149"/>
    </row>
    <row r="61" spans="1:8">
      <c r="A61" s="131" t="s">
        <v>1002</v>
      </c>
      <c r="B61" s="151" t="s">
        <v>1003</v>
      </c>
      <c r="C61" s="145" t="s">
        <v>427</v>
      </c>
      <c r="D61" s="145" t="s">
        <v>117</v>
      </c>
      <c r="E61" s="146">
        <v>11889522</v>
      </c>
      <c r="F61" s="147">
        <v>31233.77</v>
      </c>
      <c r="G61" s="148">
        <v>7.3882495691400003E-3</v>
      </c>
      <c r="H61" s="149"/>
    </row>
    <row r="62" spans="1:8">
      <c r="A62" s="131" t="s">
        <v>1004</v>
      </c>
      <c r="B62" s="151" t="s">
        <v>1005</v>
      </c>
      <c r="C62" s="145" t="s">
        <v>1006</v>
      </c>
      <c r="D62" s="145" t="s">
        <v>114</v>
      </c>
      <c r="E62" s="146">
        <v>738378</v>
      </c>
      <c r="F62" s="147">
        <v>30365.8</v>
      </c>
      <c r="G62" s="148">
        <v>7.18293189804E-3</v>
      </c>
      <c r="H62" s="149"/>
    </row>
    <row r="63" spans="1:8">
      <c r="A63" s="131" t="s">
        <v>1007</v>
      </c>
      <c r="B63" s="151" t="s">
        <v>1008</v>
      </c>
      <c r="C63" s="145" t="s">
        <v>384</v>
      </c>
      <c r="D63" s="145" t="s">
        <v>146</v>
      </c>
      <c r="E63" s="146">
        <v>8057987</v>
      </c>
      <c r="F63" s="147">
        <v>29556.7</v>
      </c>
      <c r="G63" s="148">
        <v>6.9915421289300003E-3</v>
      </c>
      <c r="H63" s="149"/>
    </row>
    <row r="64" spans="1:8">
      <c r="A64" s="131" t="s">
        <v>1009</v>
      </c>
      <c r="B64" s="151" t="s">
        <v>1010</v>
      </c>
      <c r="C64" s="145" t="s">
        <v>31</v>
      </c>
      <c r="D64" s="145" t="s">
        <v>13</v>
      </c>
      <c r="E64" s="146">
        <v>486000</v>
      </c>
      <c r="F64" s="147">
        <v>29330.1</v>
      </c>
      <c r="G64" s="148">
        <v>6.9379414939799997E-3</v>
      </c>
      <c r="H64" s="149"/>
    </row>
    <row r="65" spans="1:8">
      <c r="A65" s="131" t="s">
        <v>1011</v>
      </c>
      <c r="B65" s="151" t="s">
        <v>1012</v>
      </c>
      <c r="C65" s="145" t="s">
        <v>140</v>
      </c>
      <c r="D65" s="145" t="s">
        <v>141</v>
      </c>
      <c r="E65" s="146">
        <v>953394</v>
      </c>
      <c r="F65" s="147">
        <v>29111.89</v>
      </c>
      <c r="G65" s="148">
        <v>6.8863236194399999E-3</v>
      </c>
      <c r="H65" s="149"/>
    </row>
    <row r="66" spans="1:8">
      <c r="A66" s="131" t="s">
        <v>1013</v>
      </c>
      <c r="B66" s="151" t="s">
        <v>1014</v>
      </c>
      <c r="C66" s="145" t="s">
        <v>52</v>
      </c>
      <c r="D66" s="145" t="s">
        <v>53</v>
      </c>
      <c r="E66" s="146">
        <v>1120620</v>
      </c>
      <c r="F66" s="147">
        <v>28329.27</v>
      </c>
      <c r="G66" s="148">
        <v>6.7011992050400003E-3</v>
      </c>
      <c r="H66" s="149"/>
    </row>
    <row r="67" spans="1:8">
      <c r="A67" s="131" t="s">
        <v>1015</v>
      </c>
      <c r="B67" s="151" t="s">
        <v>1016</v>
      </c>
      <c r="C67" s="145" t="s">
        <v>1017</v>
      </c>
      <c r="D67" s="145" t="s">
        <v>211</v>
      </c>
      <c r="E67" s="146">
        <v>6097983</v>
      </c>
      <c r="F67" s="147">
        <v>28038.53</v>
      </c>
      <c r="G67" s="148">
        <v>6.6324237494499996E-3</v>
      </c>
      <c r="H67" s="149"/>
    </row>
    <row r="68" spans="1:8">
      <c r="A68" s="131" t="s">
        <v>1018</v>
      </c>
      <c r="B68" s="151" t="s">
        <v>1019</v>
      </c>
      <c r="C68" s="145" t="s">
        <v>78</v>
      </c>
      <c r="D68" s="145" t="s">
        <v>13</v>
      </c>
      <c r="E68" s="146">
        <v>2661418</v>
      </c>
      <c r="F68" s="147">
        <v>27729.31</v>
      </c>
      <c r="G68" s="148">
        <v>6.5592807111200004E-3</v>
      </c>
      <c r="H68" s="149"/>
    </row>
    <row r="69" spans="1:8">
      <c r="A69" s="131" t="s">
        <v>1020</v>
      </c>
      <c r="B69" s="151" t="s">
        <v>1021</v>
      </c>
      <c r="C69" s="145" t="s">
        <v>1022</v>
      </c>
      <c r="D69" s="145" t="s">
        <v>111</v>
      </c>
      <c r="E69" s="146">
        <v>6922450</v>
      </c>
      <c r="F69" s="147">
        <v>26260.31</v>
      </c>
      <c r="G69" s="148">
        <v>6.21179343629E-3</v>
      </c>
      <c r="H69" s="149"/>
    </row>
    <row r="70" spans="1:8">
      <c r="A70" s="131" t="s">
        <v>1023</v>
      </c>
      <c r="B70" s="151" t="s">
        <v>1024</v>
      </c>
      <c r="C70" s="145" t="s">
        <v>1025</v>
      </c>
      <c r="D70" s="145" t="s">
        <v>83</v>
      </c>
      <c r="E70" s="146">
        <v>3184956</v>
      </c>
      <c r="F70" s="147">
        <v>25600.68</v>
      </c>
      <c r="G70" s="148">
        <v>6.0557582336900001E-3</v>
      </c>
      <c r="H70" s="149"/>
    </row>
    <row r="71" spans="1:8">
      <c r="A71" s="131" t="s">
        <v>1026</v>
      </c>
      <c r="B71" s="151" t="s">
        <v>1027</v>
      </c>
      <c r="C71" s="145" t="s">
        <v>1028</v>
      </c>
      <c r="D71" s="145" t="s">
        <v>266</v>
      </c>
      <c r="E71" s="146">
        <v>5189854</v>
      </c>
      <c r="F71" s="147">
        <v>24571.360000000001</v>
      </c>
      <c r="G71" s="148">
        <v>5.8122776333900004E-3</v>
      </c>
      <c r="H71" s="149"/>
    </row>
    <row r="72" spans="1:8">
      <c r="A72" s="131" t="s">
        <v>1029</v>
      </c>
      <c r="B72" s="151" t="s">
        <v>1030</v>
      </c>
      <c r="C72" s="145" t="s">
        <v>832</v>
      </c>
      <c r="D72" s="145" t="s">
        <v>141</v>
      </c>
      <c r="E72" s="146">
        <v>838266</v>
      </c>
      <c r="F72" s="147">
        <v>23608.09</v>
      </c>
      <c r="G72" s="148">
        <v>5.5844172027600001E-3</v>
      </c>
      <c r="H72" s="149"/>
    </row>
    <row r="73" spans="1:8">
      <c r="A73" s="131" t="s">
        <v>1031</v>
      </c>
      <c r="B73" s="151" t="s">
        <v>1032</v>
      </c>
      <c r="C73" s="145" t="s">
        <v>1033</v>
      </c>
      <c r="D73" s="145" t="s">
        <v>136</v>
      </c>
      <c r="E73" s="146">
        <v>17655</v>
      </c>
      <c r="F73" s="147">
        <v>23333.73</v>
      </c>
      <c r="G73" s="148">
        <v>5.51951949634E-3</v>
      </c>
      <c r="H73" s="149"/>
    </row>
    <row r="74" spans="1:8">
      <c r="A74" s="131" t="s">
        <v>1034</v>
      </c>
      <c r="B74" s="151" t="s">
        <v>1035</v>
      </c>
      <c r="C74" s="145" t="s">
        <v>1036</v>
      </c>
      <c r="D74" s="145" t="s">
        <v>366</v>
      </c>
      <c r="E74" s="146">
        <v>10197567</v>
      </c>
      <c r="F74" s="147">
        <v>21819.73</v>
      </c>
      <c r="G74" s="148">
        <v>5.1613884258399998E-3</v>
      </c>
      <c r="H74" s="149"/>
    </row>
    <row r="75" spans="1:8">
      <c r="A75" s="131" t="s">
        <v>1037</v>
      </c>
      <c r="B75" s="151" t="s">
        <v>1038</v>
      </c>
      <c r="C75" s="145" t="s">
        <v>377</v>
      </c>
      <c r="D75" s="145" t="s">
        <v>378</v>
      </c>
      <c r="E75" s="146">
        <v>2935621</v>
      </c>
      <c r="F75" s="147">
        <v>20007.72</v>
      </c>
      <c r="G75" s="148">
        <v>4.73276343963E-3</v>
      </c>
      <c r="H75" s="149"/>
    </row>
    <row r="76" spans="1:8">
      <c r="A76" s="131" t="s">
        <v>1039</v>
      </c>
      <c r="B76" s="151" t="s">
        <v>1040</v>
      </c>
      <c r="C76" s="145" t="s">
        <v>348</v>
      </c>
      <c r="D76" s="145" t="s">
        <v>111</v>
      </c>
      <c r="E76" s="146">
        <v>3737313</v>
      </c>
      <c r="F76" s="147">
        <v>19669.48</v>
      </c>
      <c r="G76" s="148">
        <v>4.6527522849999997E-3</v>
      </c>
      <c r="H76" s="149"/>
    </row>
    <row r="77" spans="1:8">
      <c r="A77" s="131" t="s">
        <v>1041</v>
      </c>
      <c r="B77" s="151" t="s">
        <v>1042</v>
      </c>
      <c r="C77" s="145" t="s">
        <v>1043</v>
      </c>
      <c r="D77" s="145" t="s">
        <v>136</v>
      </c>
      <c r="E77" s="146">
        <v>1134440</v>
      </c>
      <c r="F77" s="147">
        <v>19172.04</v>
      </c>
      <c r="G77" s="148">
        <v>4.5350838929400002E-3</v>
      </c>
      <c r="H77" s="149"/>
    </row>
    <row r="78" spans="1:8">
      <c r="A78" s="131" t="s">
        <v>1044</v>
      </c>
      <c r="B78" s="151" t="s">
        <v>1045</v>
      </c>
      <c r="C78" s="145" t="s">
        <v>404</v>
      </c>
      <c r="D78" s="145" t="s">
        <v>146</v>
      </c>
      <c r="E78" s="146">
        <v>1570197</v>
      </c>
      <c r="F78" s="147">
        <v>18963.27</v>
      </c>
      <c r="G78" s="148">
        <v>4.4857007657299998E-3</v>
      </c>
      <c r="H78" s="149"/>
    </row>
    <row r="79" spans="1:8">
      <c r="A79" s="131" t="s">
        <v>1046</v>
      </c>
      <c r="B79" s="151" t="s">
        <v>1047</v>
      </c>
      <c r="C79" s="145" t="s">
        <v>57</v>
      </c>
      <c r="D79" s="145" t="s">
        <v>48</v>
      </c>
      <c r="E79" s="146">
        <v>1443704</v>
      </c>
      <c r="F79" s="147">
        <v>16422.13</v>
      </c>
      <c r="G79" s="148">
        <v>3.88460311967E-3</v>
      </c>
      <c r="H79" s="149"/>
    </row>
    <row r="80" spans="1:8">
      <c r="A80" s="131" t="s">
        <v>1048</v>
      </c>
      <c r="B80" s="151" t="s">
        <v>1049</v>
      </c>
      <c r="C80" s="145" t="s">
        <v>82</v>
      </c>
      <c r="D80" s="145" t="s">
        <v>83</v>
      </c>
      <c r="E80" s="146">
        <v>150000</v>
      </c>
      <c r="F80" s="147">
        <v>15669</v>
      </c>
      <c r="G80" s="148">
        <v>3.7064519135299998E-3</v>
      </c>
      <c r="H80" s="149"/>
    </row>
    <row r="81" spans="1:8">
      <c r="A81" s="131" t="s">
        <v>1050</v>
      </c>
      <c r="B81" s="151" t="s">
        <v>1051</v>
      </c>
      <c r="C81" s="145" t="s">
        <v>172</v>
      </c>
      <c r="D81" s="145" t="s">
        <v>111</v>
      </c>
      <c r="E81" s="146">
        <v>4298540</v>
      </c>
      <c r="F81" s="147">
        <v>14606.44</v>
      </c>
      <c r="G81" s="148">
        <v>3.4551064831799998E-3</v>
      </c>
      <c r="H81" s="149"/>
    </row>
    <row r="82" spans="1:8">
      <c r="A82" s="131" t="s">
        <v>1052</v>
      </c>
      <c r="B82" s="151" t="s">
        <v>1053</v>
      </c>
      <c r="C82" s="145" t="s">
        <v>283</v>
      </c>
      <c r="D82" s="145" t="s">
        <v>20</v>
      </c>
      <c r="E82" s="146">
        <v>3097859</v>
      </c>
      <c r="F82" s="147">
        <v>13763.79</v>
      </c>
      <c r="G82" s="148">
        <v>3.25577998941E-3</v>
      </c>
      <c r="H82" s="149"/>
    </row>
    <row r="83" spans="1:8">
      <c r="A83" s="131" t="s">
        <v>1054</v>
      </c>
      <c r="B83" s="151" t="s">
        <v>1055</v>
      </c>
      <c r="C83" s="145" t="s">
        <v>1056</v>
      </c>
      <c r="D83" s="145" t="s">
        <v>23</v>
      </c>
      <c r="E83" s="146">
        <v>2761995</v>
      </c>
      <c r="F83" s="147">
        <v>12631.98</v>
      </c>
      <c r="G83" s="148">
        <v>2.9880555083099999E-3</v>
      </c>
      <c r="H83" s="149"/>
    </row>
    <row r="84" spans="1:8">
      <c r="A84" s="131" t="s">
        <v>1057</v>
      </c>
      <c r="B84" s="151" t="s">
        <v>1058</v>
      </c>
      <c r="C84" s="145" t="s">
        <v>156</v>
      </c>
      <c r="D84" s="145" t="s">
        <v>120</v>
      </c>
      <c r="E84" s="146">
        <v>37403906</v>
      </c>
      <c r="F84" s="147">
        <v>12092.68</v>
      </c>
      <c r="G84" s="148">
        <v>2.8604855025899999E-3</v>
      </c>
      <c r="H84" s="149"/>
    </row>
    <row r="85" spans="1:8">
      <c r="A85" s="131" t="s">
        <v>1059</v>
      </c>
      <c r="B85" s="151" t="s">
        <v>1060</v>
      </c>
      <c r="C85" s="145" t="s">
        <v>1061</v>
      </c>
      <c r="D85" s="145" t="s">
        <v>114</v>
      </c>
      <c r="E85" s="146">
        <v>4474359</v>
      </c>
      <c r="F85" s="147">
        <v>10702.67</v>
      </c>
      <c r="G85" s="148">
        <v>2.53168163724E-3</v>
      </c>
      <c r="H85" s="149"/>
    </row>
    <row r="86" spans="1:8">
      <c r="A86" s="131" t="s">
        <v>1062</v>
      </c>
      <c r="B86" s="151" t="s">
        <v>1063</v>
      </c>
      <c r="C86" s="145" t="s">
        <v>243</v>
      </c>
      <c r="D86" s="145" t="s">
        <v>146</v>
      </c>
      <c r="E86" s="146">
        <v>864412</v>
      </c>
      <c r="F86" s="147">
        <v>10529.4</v>
      </c>
      <c r="G86" s="148">
        <v>2.4906965544299999E-3</v>
      </c>
      <c r="H86" s="149"/>
    </row>
    <row r="87" spans="1:8">
      <c r="A87" s="131" t="s">
        <v>1064</v>
      </c>
      <c r="B87" s="151" t="s">
        <v>1065</v>
      </c>
      <c r="C87" s="145" t="s">
        <v>319</v>
      </c>
      <c r="D87" s="145" t="s">
        <v>83</v>
      </c>
      <c r="E87" s="146">
        <v>247000</v>
      </c>
      <c r="F87" s="147">
        <v>9824.18</v>
      </c>
      <c r="G87" s="148">
        <v>2.32387793395E-3</v>
      </c>
      <c r="H87" s="149"/>
    </row>
    <row r="88" spans="1:8">
      <c r="A88" s="131" t="s">
        <v>1066</v>
      </c>
      <c r="B88" s="151" t="s">
        <v>1067</v>
      </c>
      <c r="C88" s="145" t="s">
        <v>1068</v>
      </c>
      <c r="D88" s="145" t="s">
        <v>434</v>
      </c>
      <c r="E88" s="146">
        <v>2264338</v>
      </c>
      <c r="F88" s="147">
        <v>9631.36</v>
      </c>
      <c r="G88" s="148">
        <v>2.27826784989E-3</v>
      </c>
      <c r="H88" s="149"/>
    </row>
    <row r="89" spans="1:8">
      <c r="A89" s="131" t="s">
        <v>1069</v>
      </c>
      <c r="B89" s="151" t="s">
        <v>1070</v>
      </c>
      <c r="C89" s="145" t="s">
        <v>1071</v>
      </c>
      <c r="D89" s="145" t="s">
        <v>273</v>
      </c>
      <c r="E89" s="146">
        <v>14282192</v>
      </c>
      <c r="F89" s="147">
        <v>8369.36</v>
      </c>
      <c r="G89" s="148">
        <v>1.9797464490799999E-3</v>
      </c>
      <c r="H89" s="149"/>
    </row>
    <row r="90" spans="1:8">
      <c r="A90" s="131" t="s">
        <v>1072</v>
      </c>
      <c r="B90" s="151" t="s">
        <v>1073</v>
      </c>
      <c r="C90" s="145" t="s">
        <v>359</v>
      </c>
      <c r="D90" s="145" t="s">
        <v>146</v>
      </c>
      <c r="E90" s="146">
        <v>133880</v>
      </c>
      <c r="F90" s="147">
        <v>8101.08</v>
      </c>
      <c r="G90" s="148">
        <v>1.9162843206300001E-3</v>
      </c>
      <c r="H90" s="149"/>
    </row>
    <row r="91" spans="1:8">
      <c r="A91" s="131" t="s">
        <v>1074</v>
      </c>
      <c r="B91" s="151" t="s">
        <v>1075</v>
      </c>
      <c r="C91" s="145" t="s">
        <v>1076</v>
      </c>
      <c r="D91" s="145" t="s">
        <v>841</v>
      </c>
      <c r="E91" s="146">
        <v>399283</v>
      </c>
      <c r="F91" s="147">
        <v>7979.67</v>
      </c>
      <c r="G91" s="148">
        <v>1.8875656352799999E-3</v>
      </c>
      <c r="H91" s="149"/>
    </row>
    <row r="92" spans="1:8">
      <c r="A92" s="131" t="s">
        <v>1077</v>
      </c>
      <c r="B92" s="151" t="s">
        <v>1078</v>
      </c>
      <c r="C92" s="145" t="s">
        <v>45</v>
      </c>
      <c r="D92" s="145" t="s">
        <v>13</v>
      </c>
      <c r="E92" s="146">
        <v>1043391</v>
      </c>
      <c r="F92" s="147">
        <v>7278.17</v>
      </c>
      <c r="G92" s="148">
        <v>1.7216287992E-3</v>
      </c>
      <c r="H92" s="149"/>
    </row>
    <row r="93" spans="1:8">
      <c r="A93" s="131" t="s">
        <v>1079</v>
      </c>
      <c r="B93" s="151" t="s">
        <v>1080</v>
      </c>
      <c r="C93" s="145" t="s">
        <v>387</v>
      </c>
      <c r="D93" s="145" t="s">
        <v>23</v>
      </c>
      <c r="E93" s="146">
        <v>160515</v>
      </c>
      <c r="F93" s="147">
        <v>6076.3</v>
      </c>
      <c r="G93" s="148">
        <v>1.43732825544E-3</v>
      </c>
      <c r="H93" s="149"/>
    </row>
    <row r="94" spans="1:8">
      <c r="A94" s="131" t="s">
        <v>1081</v>
      </c>
      <c r="B94" s="151" t="s">
        <v>1082</v>
      </c>
      <c r="C94" s="145" t="s">
        <v>1083</v>
      </c>
      <c r="D94" s="145" t="s">
        <v>871</v>
      </c>
      <c r="E94" s="146">
        <v>944098</v>
      </c>
      <c r="F94" s="147">
        <v>4328.6899999999996</v>
      </c>
      <c r="G94" s="148">
        <v>1.0239376380300001E-3</v>
      </c>
      <c r="H94" s="149"/>
    </row>
    <row r="95" spans="1:8">
      <c r="A95" s="131" t="s">
        <v>1084</v>
      </c>
      <c r="B95" s="151" t="s">
        <v>1085</v>
      </c>
      <c r="C95" s="145" t="s">
        <v>237</v>
      </c>
      <c r="D95" s="145" t="s">
        <v>120</v>
      </c>
      <c r="E95" s="146">
        <v>20447</v>
      </c>
      <c r="F95" s="147">
        <v>2985.06</v>
      </c>
      <c r="G95" s="148">
        <v>7.0610582640999995E-4</v>
      </c>
      <c r="H95" s="149"/>
    </row>
    <row r="96" spans="1:8">
      <c r="A96" s="131" t="s">
        <v>1086</v>
      </c>
      <c r="B96" s="151" t="s">
        <v>1087</v>
      </c>
      <c r="C96" s="145" t="s">
        <v>231</v>
      </c>
      <c r="D96" s="145" t="s">
        <v>120</v>
      </c>
      <c r="E96" s="146">
        <v>41332</v>
      </c>
      <c r="F96" s="147">
        <v>1418.43</v>
      </c>
      <c r="G96" s="148">
        <v>3.3552545977E-4</v>
      </c>
      <c r="H96" s="149"/>
    </row>
    <row r="97" spans="1:8">
      <c r="A97" s="131" t="s">
        <v>1088</v>
      </c>
      <c r="B97" s="151" t="s">
        <v>1089</v>
      </c>
      <c r="C97" s="145" t="s">
        <v>108</v>
      </c>
      <c r="D97" s="145" t="s">
        <v>68</v>
      </c>
      <c r="E97" s="146">
        <v>302732</v>
      </c>
      <c r="F97" s="147">
        <v>1359.27</v>
      </c>
      <c r="G97" s="148">
        <v>3.2153019255000003E-4</v>
      </c>
      <c r="H97" s="149"/>
    </row>
    <row r="98" spans="1:8">
      <c r="A98" s="131" t="s">
        <v>1090</v>
      </c>
      <c r="B98" s="151" t="s">
        <v>1091</v>
      </c>
      <c r="C98" s="145" t="s">
        <v>323</v>
      </c>
      <c r="D98" s="145" t="s">
        <v>324</v>
      </c>
      <c r="E98" s="146">
        <v>110143</v>
      </c>
      <c r="F98" s="147">
        <v>1060.24</v>
      </c>
      <c r="G98" s="148">
        <v>2.5079556264000002E-4</v>
      </c>
      <c r="H98" s="149"/>
    </row>
    <row r="99" spans="1:8">
      <c r="A99" s="131" t="s">
        <v>1092</v>
      </c>
      <c r="B99" s="151" t="s">
        <v>1093</v>
      </c>
      <c r="C99" s="145" t="s">
        <v>352</v>
      </c>
      <c r="D99" s="145" t="s">
        <v>353</v>
      </c>
      <c r="E99" s="146">
        <v>29728</v>
      </c>
      <c r="F99" s="147">
        <v>838.03</v>
      </c>
      <c r="G99" s="148">
        <v>1.9823386917E-4</v>
      </c>
      <c r="H99" s="149"/>
    </row>
    <row r="100" spans="1:8">
      <c r="A100" s="131" t="s">
        <v>1094</v>
      </c>
      <c r="B100" s="151" t="s">
        <v>1095</v>
      </c>
      <c r="C100" s="145" t="s">
        <v>1096</v>
      </c>
      <c r="D100" s="145" t="s">
        <v>219</v>
      </c>
      <c r="E100" s="146">
        <v>8987</v>
      </c>
      <c r="F100" s="147">
        <v>213.26</v>
      </c>
      <c r="G100" s="148">
        <v>5.0446329169999998E-5</v>
      </c>
      <c r="H100" s="149"/>
    </row>
    <row r="101" spans="1:8">
      <c r="A101" s="131" t="s">
        <v>1097</v>
      </c>
      <c r="B101" s="151" t="s">
        <v>1098</v>
      </c>
      <c r="C101" s="145" t="s">
        <v>133</v>
      </c>
      <c r="D101" s="145" t="s">
        <v>111</v>
      </c>
      <c r="E101" s="146">
        <v>14760</v>
      </c>
      <c r="F101" s="147">
        <v>137.25</v>
      </c>
      <c r="G101" s="148">
        <v>3.2465069909999998E-5</v>
      </c>
      <c r="H101" s="149"/>
    </row>
    <row r="102" spans="1:8">
      <c r="A102" s="123"/>
      <c r="B102" s="152" t="s">
        <v>90</v>
      </c>
      <c r="C102" s="145"/>
      <c r="D102" s="145"/>
      <c r="E102" s="146"/>
      <c r="F102" s="153">
        <v>4156934.24</v>
      </c>
      <c r="G102" s="154">
        <v>0.98330951168759995</v>
      </c>
      <c r="H102" s="149"/>
    </row>
    <row r="103" spans="1:8">
      <c r="A103" s="123"/>
      <c r="B103" s="152" t="s">
        <v>173</v>
      </c>
      <c r="C103" s="145"/>
      <c r="D103" s="145"/>
      <c r="E103" s="146"/>
      <c r="F103" s="155"/>
      <c r="G103" s="156"/>
      <c r="H103" s="149"/>
    </row>
    <row r="104" spans="1:8">
      <c r="A104" s="123"/>
      <c r="B104" s="152" t="s">
        <v>90</v>
      </c>
      <c r="C104" s="145"/>
      <c r="D104" s="145"/>
      <c r="E104" s="157"/>
      <c r="F104" s="153" t="s">
        <v>458</v>
      </c>
      <c r="G104" s="158" t="s">
        <v>458</v>
      </c>
      <c r="H104" s="159"/>
    </row>
    <row r="105" spans="1:8">
      <c r="A105" s="123"/>
      <c r="B105" s="160" t="s">
        <v>91</v>
      </c>
      <c r="C105" s="161"/>
      <c r="D105" s="161"/>
      <c r="E105" s="162"/>
      <c r="F105" s="163">
        <v>4156934.24</v>
      </c>
      <c r="G105" s="164">
        <v>0.98330951168759995</v>
      </c>
      <c r="H105" s="165"/>
    </row>
    <row r="106" spans="1:8">
      <c r="A106" s="123"/>
      <c r="B106" s="166" t="s">
        <v>1099</v>
      </c>
      <c r="C106" s="167"/>
      <c r="D106" s="167"/>
      <c r="E106" s="168"/>
      <c r="F106" s="169"/>
      <c r="G106" s="170"/>
      <c r="H106" s="171"/>
    </row>
    <row r="107" spans="1:8">
      <c r="A107" s="123"/>
      <c r="B107" s="172" t="s">
        <v>10</v>
      </c>
      <c r="C107" s="173"/>
      <c r="D107" s="173"/>
      <c r="E107" s="174"/>
      <c r="F107" s="175"/>
      <c r="G107" s="176"/>
      <c r="H107" s="177"/>
    </row>
    <row r="108" spans="1:8">
      <c r="A108" s="123"/>
      <c r="B108" s="172" t="s">
        <v>90</v>
      </c>
      <c r="C108" s="173"/>
      <c r="D108" s="173"/>
      <c r="E108" s="178"/>
      <c r="F108" s="153" t="s">
        <v>458</v>
      </c>
      <c r="G108" s="158" t="s">
        <v>458</v>
      </c>
      <c r="H108" s="179"/>
    </row>
    <row r="109" spans="1:8">
      <c r="A109" s="123"/>
      <c r="B109" s="172" t="s">
        <v>1100</v>
      </c>
      <c r="C109" s="173"/>
      <c r="D109" s="173"/>
      <c r="E109" s="174"/>
      <c r="F109" s="163"/>
      <c r="G109" s="164"/>
      <c r="H109" s="177"/>
    </row>
    <row r="110" spans="1:8">
      <c r="A110" s="123"/>
      <c r="B110" s="172" t="s">
        <v>90</v>
      </c>
      <c r="C110" s="173"/>
      <c r="D110" s="173"/>
      <c r="E110" s="178"/>
      <c r="F110" s="153" t="s">
        <v>458</v>
      </c>
      <c r="G110" s="158" t="s">
        <v>458</v>
      </c>
      <c r="H110" s="179"/>
    </row>
    <row r="111" spans="1:8">
      <c r="A111" s="123"/>
      <c r="B111" s="172" t="s">
        <v>1101</v>
      </c>
      <c r="C111" s="173"/>
      <c r="D111" s="173"/>
      <c r="E111" s="174"/>
      <c r="F111" s="163"/>
      <c r="G111" s="164"/>
      <c r="H111" s="177"/>
    </row>
    <row r="112" spans="1:8">
      <c r="A112" s="123"/>
      <c r="B112" s="180" t="s">
        <v>90</v>
      </c>
      <c r="C112" s="181"/>
      <c r="D112" s="181"/>
      <c r="E112" s="182"/>
      <c r="F112" s="155" t="s">
        <v>458</v>
      </c>
      <c r="G112" s="183" t="s">
        <v>458</v>
      </c>
      <c r="H112" s="184"/>
    </row>
    <row r="113" spans="1:8">
      <c r="A113" s="123"/>
      <c r="B113" s="185" t="s">
        <v>91</v>
      </c>
      <c r="C113" s="186"/>
      <c r="D113" s="186"/>
      <c r="E113" s="187"/>
      <c r="F113" s="153" t="s">
        <v>458</v>
      </c>
      <c r="G113" s="158" t="s">
        <v>458</v>
      </c>
      <c r="H113" s="188"/>
    </row>
    <row r="114" spans="1:8">
      <c r="A114" s="123"/>
      <c r="B114" s="189"/>
      <c r="C114" s="190"/>
      <c r="D114" s="190"/>
      <c r="E114" s="191"/>
      <c r="F114" s="192"/>
      <c r="G114" s="193"/>
      <c r="H114" s="194"/>
    </row>
    <row r="115" spans="1:8">
      <c r="A115" s="123"/>
      <c r="B115" s="195" t="s">
        <v>1102</v>
      </c>
      <c r="C115" s="161"/>
      <c r="D115" s="161"/>
      <c r="E115" s="162"/>
      <c r="F115" s="196"/>
      <c r="G115" s="197"/>
      <c r="H115" s="165"/>
    </row>
    <row r="116" spans="1:8">
      <c r="A116" s="130"/>
      <c r="B116" s="185" t="s">
        <v>91</v>
      </c>
      <c r="C116" s="198"/>
      <c r="D116" s="198"/>
      <c r="E116" s="199"/>
      <c r="F116" s="200" t="s">
        <v>458</v>
      </c>
      <c r="G116" s="201" t="s">
        <v>458</v>
      </c>
      <c r="H116" s="202"/>
    </row>
    <row r="117" spans="1:8">
      <c r="A117" s="123"/>
      <c r="B117" s="203"/>
      <c r="C117" s="204"/>
      <c r="D117" s="204"/>
      <c r="E117" s="205"/>
      <c r="F117" s="206"/>
      <c r="G117" s="207"/>
      <c r="H117" s="208"/>
    </row>
    <row r="118" spans="1:8">
      <c r="A118" s="143"/>
      <c r="B118" s="144" t="s">
        <v>1103</v>
      </c>
      <c r="C118" s="145"/>
      <c r="D118" s="145"/>
      <c r="E118" s="146"/>
      <c r="F118" s="147"/>
      <c r="G118" s="148"/>
      <c r="H118" s="149"/>
    </row>
    <row r="119" spans="1:8">
      <c r="A119" s="123"/>
      <c r="B119" s="150" t="s">
        <v>1104</v>
      </c>
      <c r="C119" s="145"/>
      <c r="D119" s="145"/>
      <c r="E119" s="146"/>
      <c r="F119" s="147"/>
      <c r="G119" s="148"/>
      <c r="H119" s="149"/>
    </row>
    <row r="120" spans="1:8">
      <c r="A120" s="131" t="s">
        <v>1105</v>
      </c>
      <c r="B120" s="151" t="s">
        <v>1106</v>
      </c>
      <c r="C120" s="145" t="s">
        <v>1107</v>
      </c>
      <c r="D120" s="145"/>
      <c r="E120" s="146">
        <v>396286.098</v>
      </c>
      <c r="F120" s="147">
        <v>11415.23</v>
      </c>
      <c r="G120" s="148">
        <v>2.7002361791E-3</v>
      </c>
      <c r="H120" s="149"/>
    </row>
    <row r="121" spans="1:8">
      <c r="A121" s="131" t="s">
        <v>1108</v>
      </c>
      <c r="B121" s="151" t="s">
        <v>1109</v>
      </c>
      <c r="C121" s="145" t="s">
        <v>1110</v>
      </c>
      <c r="D121" s="145"/>
      <c r="E121" s="146">
        <v>454342.47100000002</v>
      </c>
      <c r="F121" s="147">
        <v>6016.8</v>
      </c>
      <c r="G121" s="148">
        <v>1.42325366687E-3</v>
      </c>
      <c r="H121" s="149"/>
    </row>
    <row r="122" spans="1:8">
      <c r="A122" s="123"/>
      <c r="B122" s="152" t="s">
        <v>90</v>
      </c>
      <c r="C122" s="145"/>
      <c r="D122" s="145"/>
      <c r="E122" s="146"/>
      <c r="F122" s="153">
        <v>17432.03</v>
      </c>
      <c r="G122" s="154">
        <v>4.1234898459699999E-3</v>
      </c>
      <c r="H122" s="149"/>
    </row>
    <row r="123" spans="1:8">
      <c r="A123" s="123"/>
      <c r="B123" s="150" t="s">
        <v>1111</v>
      </c>
      <c r="C123" s="145"/>
      <c r="D123" s="145"/>
      <c r="E123" s="146"/>
      <c r="F123" s="147"/>
      <c r="G123" s="148"/>
      <c r="H123" s="149"/>
    </row>
    <row r="124" spans="1:8">
      <c r="A124" s="131" t="s">
        <v>1112</v>
      </c>
      <c r="B124" s="151" t="s">
        <v>876</v>
      </c>
      <c r="C124" s="145"/>
      <c r="D124" s="145"/>
      <c r="E124" s="146"/>
      <c r="F124" s="147">
        <v>53120.67</v>
      </c>
      <c r="G124" s="148">
        <v>1.256552388471E-2</v>
      </c>
      <c r="H124" s="149">
        <v>5.1101000000000001E-2</v>
      </c>
    </row>
    <row r="125" spans="1:8">
      <c r="A125" s="123"/>
      <c r="B125" s="152" t="s">
        <v>90</v>
      </c>
      <c r="C125" s="145"/>
      <c r="D125" s="145"/>
      <c r="E125" s="146"/>
      <c r="F125" s="153">
        <v>53120.67</v>
      </c>
      <c r="G125" s="154">
        <v>1.256552388471E-2</v>
      </c>
      <c r="H125" s="149"/>
    </row>
    <row r="126" spans="1:8">
      <c r="A126" s="123"/>
      <c r="B126" s="185" t="s">
        <v>91</v>
      </c>
      <c r="C126" s="186"/>
      <c r="D126" s="186"/>
      <c r="E126" s="187"/>
      <c r="F126" s="153">
        <v>70552.7</v>
      </c>
      <c r="G126" s="154">
        <v>1.6689013730680002E-2</v>
      </c>
      <c r="H126" s="188"/>
    </row>
    <row r="127" spans="1:8">
      <c r="A127" s="123"/>
      <c r="B127" s="209"/>
      <c r="C127" s="204"/>
      <c r="D127" s="204"/>
      <c r="E127" s="205"/>
      <c r="F127" s="206"/>
      <c r="G127" s="207"/>
      <c r="H127" s="208"/>
    </row>
    <row r="128" spans="1:8">
      <c r="A128" s="123"/>
      <c r="B128" s="150" t="s">
        <v>1113</v>
      </c>
      <c r="C128" s="145"/>
      <c r="D128" s="145"/>
      <c r="E128" s="146"/>
      <c r="F128" s="147"/>
      <c r="G128" s="148"/>
      <c r="H128" s="149"/>
    </row>
    <row r="129" spans="1:8">
      <c r="A129" s="131"/>
      <c r="B129" s="151" t="s">
        <v>178</v>
      </c>
      <c r="C129" s="145"/>
      <c r="D129" s="145"/>
      <c r="E129" s="146"/>
      <c r="F129" s="147">
        <v>6.19</v>
      </c>
      <c r="G129" s="148">
        <v>1.47458172E-6</v>
      </c>
      <c r="H129" s="149"/>
    </row>
    <row r="130" spans="1:8">
      <c r="A130" s="123"/>
      <c r="B130" s="185" t="s">
        <v>91</v>
      </c>
      <c r="C130" s="186"/>
      <c r="D130" s="186"/>
      <c r="E130" s="187"/>
      <c r="F130" s="153">
        <v>6.19</v>
      </c>
      <c r="G130" s="154">
        <v>1.47458172E-6</v>
      </c>
      <c r="H130" s="188"/>
    </row>
    <row r="131" spans="1:8">
      <c r="A131" s="123"/>
      <c r="B131" s="209"/>
      <c r="C131" s="204"/>
      <c r="D131" s="204"/>
      <c r="E131" s="205"/>
      <c r="F131" s="206"/>
      <c r="G131" s="207"/>
      <c r="H131" s="208"/>
    </row>
    <row r="132" spans="1:8" ht="17" thickBot="1">
      <c r="A132" s="123"/>
      <c r="B132" s="210" t="s">
        <v>179</v>
      </c>
      <c r="C132" s="211"/>
      <c r="D132" s="212"/>
      <c r="E132" s="213"/>
      <c r="F132" s="214">
        <v>4227493.13</v>
      </c>
      <c r="G132" s="215">
        <v>1</v>
      </c>
      <c r="H132" s="216"/>
    </row>
  </sheetData>
  <mergeCells count="2">
    <mergeCell ref="B1:H2"/>
    <mergeCell ref="B3:H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DD0F-1834-3E4B-A6C0-1CCF2D7D94EC}">
  <dimension ref="A1:H268"/>
  <sheetViews>
    <sheetView workbookViewId="0">
      <selection activeCell="K14" sqref="K14"/>
    </sheetView>
  </sheetViews>
  <sheetFormatPr baseColWidth="10" defaultRowHeight="16"/>
  <sheetData>
    <row r="1" spans="1:8" ht="34">
      <c r="A1" s="27" t="s">
        <v>100</v>
      </c>
      <c r="B1" s="250" t="s">
        <v>1114</v>
      </c>
      <c r="C1" s="250"/>
      <c r="D1" s="250"/>
      <c r="E1" s="250"/>
      <c r="F1" s="250"/>
      <c r="G1" s="250"/>
      <c r="H1" s="250"/>
    </row>
    <row r="2" spans="1:8">
      <c r="A2" s="28"/>
      <c r="B2" s="251" t="s">
        <v>102</v>
      </c>
      <c r="C2" s="251"/>
      <c r="D2" s="251"/>
      <c r="E2" s="251"/>
      <c r="F2" s="251"/>
      <c r="G2" s="251"/>
      <c r="H2" s="251"/>
    </row>
    <row r="3" spans="1:8">
      <c r="A3" s="28"/>
      <c r="B3" s="251"/>
      <c r="C3" s="251"/>
      <c r="D3" s="251"/>
      <c r="E3" s="251"/>
      <c r="F3" s="251"/>
      <c r="G3" s="251"/>
      <c r="H3" s="251"/>
    </row>
    <row r="4" spans="1:8" ht="42">
      <c r="A4" s="29" t="s">
        <v>103</v>
      </c>
      <c r="B4" s="252" t="s">
        <v>104</v>
      </c>
      <c r="C4" s="252"/>
      <c r="D4" s="29" t="s">
        <v>4</v>
      </c>
      <c r="E4" s="29" t="s">
        <v>105</v>
      </c>
      <c r="F4" s="29" t="s">
        <v>6</v>
      </c>
      <c r="G4" s="29" t="s">
        <v>106</v>
      </c>
      <c r="H4" s="29" t="s">
        <v>8</v>
      </c>
    </row>
    <row r="5" spans="1:8">
      <c r="A5" s="28"/>
      <c r="B5" s="249" t="s">
        <v>9</v>
      </c>
      <c r="C5" s="249"/>
      <c r="D5" s="31"/>
      <c r="E5" s="31"/>
      <c r="F5" s="31"/>
      <c r="G5" s="31"/>
      <c r="H5" s="31"/>
    </row>
    <row r="6" spans="1:8">
      <c r="A6" s="28"/>
      <c r="B6" s="249" t="s">
        <v>93</v>
      </c>
      <c r="C6" s="249"/>
      <c r="D6" s="30"/>
      <c r="E6" s="30"/>
      <c r="F6" s="31"/>
      <c r="G6" s="31"/>
      <c r="H6" s="31"/>
    </row>
    <row r="7" spans="1:8" ht="26">
      <c r="A7" s="32">
        <v>1</v>
      </c>
      <c r="B7" s="253" t="s">
        <v>1115</v>
      </c>
      <c r="C7" s="253"/>
      <c r="D7" s="31" t="s">
        <v>1116</v>
      </c>
      <c r="E7" s="31" t="s">
        <v>168</v>
      </c>
      <c r="F7" s="33">
        <v>6112845</v>
      </c>
      <c r="G7" s="34">
        <v>3995.97</v>
      </c>
      <c r="H7" s="35">
        <v>1.7040040054008252E-2</v>
      </c>
    </row>
    <row r="8" spans="1:8" ht="26">
      <c r="A8" s="32">
        <v>2</v>
      </c>
      <c r="B8" s="253" t="s">
        <v>1117</v>
      </c>
      <c r="C8" s="253"/>
      <c r="D8" s="31" t="s">
        <v>1118</v>
      </c>
      <c r="E8" s="31" t="s">
        <v>23</v>
      </c>
      <c r="F8" s="33">
        <v>137119</v>
      </c>
      <c r="G8" s="34">
        <v>3632.69</v>
      </c>
      <c r="H8" s="35">
        <v>1.5490930994136136E-2</v>
      </c>
    </row>
    <row r="9" spans="1:8" ht="26">
      <c r="A9" s="32">
        <v>3</v>
      </c>
      <c r="B9" s="253" t="s">
        <v>1119</v>
      </c>
      <c r="C9" s="253"/>
      <c r="D9" s="31" t="s">
        <v>1120</v>
      </c>
      <c r="E9" s="31" t="s">
        <v>768</v>
      </c>
      <c r="F9" s="33">
        <v>22034</v>
      </c>
      <c r="G9" s="34">
        <v>3287.47</v>
      </c>
      <c r="H9" s="35">
        <v>1.4018802287822941E-2</v>
      </c>
    </row>
    <row r="10" spans="1:8" ht="39">
      <c r="A10" s="32">
        <v>4</v>
      </c>
      <c r="B10" s="253" t="s">
        <v>1121</v>
      </c>
      <c r="C10" s="253"/>
      <c r="D10" s="31" t="s">
        <v>1122</v>
      </c>
      <c r="E10" s="31" t="s">
        <v>146</v>
      </c>
      <c r="F10" s="33">
        <v>168608</v>
      </c>
      <c r="G10" s="34">
        <v>3224.63</v>
      </c>
      <c r="H10" s="35">
        <v>1.3750812594944638E-2</v>
      </c>
    </row>
    <row r="11" spans="1:8" ht="26">
      <c r="A11" s="32">
        <v>5</v>
      </c>
      <c r="B11" s="253" t="s">
        <v>1123</v>
      </c>
      <c r="C11" s="253"/>
      <c r="D11" s="31" t="s">
        <v>1124</v>
      </c>
      <c r="E11" s="31" t="s">
        <v>168</v>
      </c>
      <c r="F11" s="33">
        <v>8480360</v>
      </c>
      <c r="G11" s="34">
        <v>3186.92</v>
      </c>
      <c r="H11" s="35">
        <v>1.3590010967002209E-2</v>
      </c>
    </row>
    <row r="12" spans="1:8" ht="26">
      <c r="A12" s="32">
        <v>6</v>
      </c>
      <c r="B12" s="253" t="s">
        <v>1125</v>
      </c>
      <c r="C12" s="253"/>
      <c r="D12" s="31" t="s">
        <v>1126</v>
      </c>
      <c r="E12" s="31" t="s">
        <v>68</v>
      </c>
      <c r="F12" s="33">
        <v>275142</v>
      </c>
      <c r="G12" s="34">
        <v>2703.55</v>
      </c>
      <c r="H12" s="35">
        <v>1.1528754526797162E-2</v>
      </c>
    </row>
    <row r="13" spans="1:8" ht="26">
      <c r="A13" s="32">
        <v>7</v>
      </c>
      <c r="B13" s="253" t="s">
        <v>1127</v>
      </c>
      <c r="C13" s="253"/>
      <c r="D13" s="31" t="s">
        <v>1128</v>
      </c>
      <c r="E13" s="31" t="s">
        <v>117</v>
      </c>
      <c r="F13" s="33">
        <v>370591</v>
      </c>
      <c r="G13" s="34">
        <v>2703.46</v>
      </c>
      <c r="H13" s="35">
        <v>1.1528396550787244E-2</v>
      </c>
    </row>
    <row r="14" spans="1:8" ht="26">
      <c r="A14" s="32">
        <v>8</v>
      </c>
      <c r="B14" s="253" t="s">
        <v>1129</v>
      </c>
      <c r="C14" s="253"/>
      <c r="D14" s="31" t="s">
        <v>1130</v>
      </c>
      <c r="E14" s="31" t="s">
        <v>168</v>
      </c>
      <c r="F14" s="33">
        <v>3707045</v>
      </c>
      <c r="G14" s="34">
        <v>2599.0100000000002</v>
      </c>
      <c r="H14" s="35">
        <v>1.1082980462367198E-2</v>
      </c>
    </row>
    <row r="15" spans="1:8" ht="26">
      <c r="A15" s="32">
        <v>9</v>
      </c>
      <c r="B15" s="253" t="s">
        <v>1131</v>
      </c>
      <c r="C15" s="253"/>
      <c r="D15" s="31" t="s">
        <v>1132</v>
      </c>
      <c r="E15" s="31" t="s">
        <v>136</v>
      </c>
      <c r="F15" s="33">
        <v>140534</v>
      </c>
      <c r="G15" s="34">
        <v>2438.5500000000002</v>
      </c>
      <c r="H15" s="35">
        <v>1.0398715327822577E-2</v>
      </c>
    </row>
    <row r="16" spans="1:8" ht="26">
      <c r="A16" s="32">
        <v>10</v>
      </c>
      <c r="B16" s="253" t="s">
        <v>1133</v>
      </c>
      <c r="C16" s="253"/>
      <c r="D16" s="31" t="s">
        <v>1134</v>
      </c>
      <c r="E16" s="31" t="s">
        <v>168</v>
      </c>
      <c r="F16" s="33">
        <v>1228211</v>
      </c>
      <c r="G16" s="34">
        <v>2235.96</v>
      </c>
      <c r="H16" s="35">
        <v>9.534818017425329E-3</v>
      </c>
    </row>
    <row r="17" spans="1:8" ht="26">
      <c r="A17" s="32">
        <v>11</v>
      </c>
      <c r="B17" s="253" t="s">
        <v>1135</v>
      </c>
      <c r="C17" s="253"/>
      <c r="D17" s="31" t="s">
        <v>1136</v>
      </c>
      <c r="E17" s="31" t="s">
        <v>111</v>
      </c>
      <c r="F17" s="33">
        <v>2075780</v>
      </c>
      <c r="G17" s="34">
        <v>2216.73</v>
      </c>
      <c r="H17" s="35">
        <v>9.4528039830963674E-3</v>
      </c>
    </row>
    <row r="18" spans="1:8" ht="39">
      <c r="A18" s="32">
        <v>12</v>
      </c>
      <c r="B18" s="253" t="s">
        <v>1137</v>
      </c>
      <c r="C18" s="253"/>
      <c r="D18" s="31" t="s">
        <v>1138</v>
      </c>
      <c r="E18" s="31" t="s">
        <v>141</v>
      </c>
      <c r="F18" s="33">
        <v>234534</v>
      </c>
      <c r="G18" s="34">
        <v>2117.14</v>
      </c>
      <c r="H18" s="35">
        <v>9.0281339811834303E-3</v>
      </c>
    </row>
    <row r="19" spans="1:8" ht="26">
      <c r="A19" s="32">
        <v>13</v>
      </c>
      <c r="B19" s="253" t="s">
        <v>1139</v>
      </c>
      <c r="C19" s="253"/>
      <c r="D19" s="31" t="s">
        <v>1140</v>
      </c>
      <c r="E19" s="31" t="s">
        <v>850</v>
      </c>
      <c r="F19" s="33">
        <v>738672</v>
      </c>
      <c r="G19" s="34">
        <v>2100.7800000000002</v>
      </c>
      <c r="H19" s="35">
        <v>8.9583901292744766E-3</v>
      </c>
    </row>
    <row r="20" spans="1:8" ht="26">
      <c r="A20" s="32">
        <v>14</v>
      </c>
      <c r="B20" s="253" t="s">
        <v>1141</v>
      </c>
      <c r="C20" s="253"/>
      <c r="D20" s="31" t="s">
        <v>1142</v>
      </c>
      <c r="E20" s="31" t="s">
        <v>68</v>
      </c>
      <c r="F20" s="33">
        <v>68790</v>
      </c>
      <c r="G20" s="34">
        <v>2016.58</v>
      </c>
      <c r="H20" s="35">
        <v>8.5993168357029002E-3</v>
      </c>
    </row>
    <row r="21" spans="1:8" ht="39">
      <c r="A21" s="32">
        <v>15</v>
      </c>
      <c r="B21" s="253" t="s">
        <v>1143</v>
      </c>
      <c r="C21" s="253"/>
      <c r="D21" s="31" t="s">
        <v>1144</v>
      </c>
      <c r="E21" s="31" t="s">
        <v>735</v>
      </c>
      <c r="F21" s="33">
        <v>1407853</v>
      </c>
      <c r="G21" s="34">
        <v>1956.77</v>
      </c>
      <c r="H21" s="35">
        <v>8.3442942038598252E-3</v>
      </c>
    </row>
    <row r="22" spans="1:8" ht="26">
      <c r="A22" s="32">
        <v>16</v>
      </c>
      <c r="B22" s="253" t="s">
        <v>1145</v>
      </c>
      <c r="C22" s="253"/>
      <c r="D22" s="31" t="s">
        <v>1146</v>
      </c>
      <c r="E22" s="31" t="s">
        <v>136</v>
      </c>
      <c r="F22" s="33">
        <v>206263</v>
      </c>
      <c r="G22" s="34">
        <v>1925.26</v>
      </c>
      <c r="H22" s="35">
        <v>8.2099000359427896E-3</v>
      </c>
    </row>
    <row r="23" spans="1:8" ht="39">
      <c r="A23" s="32">
        <v>17</v>
      </c>
      <c r="B23" s="253" t="s">
        <v>1147</v>
      </c>
      <c r="C23" s="253"/>
      <c r="D23" s="31" t="s">
        <v>1148</v>
      </c>
      <c r="E23" s="31" t="s">
        <v>146</v>
      </c>
      <c r="F23" s="33">
        <v>216012</v>
      </c>
      <c r="G23" s="34">
        <v>1894.43</v>
      </c>
      <c r="H23" s="35">
        <v>8.0784160065511482E-3</v>
      </c>
    </row>
    <row r="24" spans="1:8" ht="26">
      <c r="A24" s="32">
        <v>18</v>
      </c>
      <c r="B24" s="253" t="s">
        <v>1149</v>
      </c>
      <c r="C24" s="253"/>
      <c r="D24" s="31" t="s">
        <v>1150</v>
      </c>
      <c r="E24" s="31" t="s">
        <v>114</v>
      </c>
      <c r="F24" s="33">
        <v>85411</v>
      </c>
      <c r="G24" s="34">
        <v>1893.31</v>
      </c>
      <c r="H24" s="35">
        <v>8.0736416725710001E-3</v>
      </c>
    </row>
    <row r="25" spans="1:8" ht="26">
      <c r="A25" s="32">
        <v>19</v>
      </c>
      <c r="B25" s="253" t="s">
        <v>1151</v>
      </c>
      <c r="C25" s="253"/>
      <c r="D25" s="31" t="s">
        <v>1152</v>
      </c>
      <c r="E25" s="31" t="s">
        <v>23</v>
      </c>
      <c r="F25" s="33">
        <v>233075</v>
      </c>
      <c r="G25" s="34">
        <v>1862.15</v>
      </c>
      <c r="H25" s="35">
        <v>7.9407959531317476E-3</v>
      </c>
    </row>
    <row r="26" spans="1:8" ht="26">
      <c r="A26" s="32">
        <v>20</v>
      </c>
      <c r="B26" s="253" t="s">
        <v>164</v>
      </c>
      <c r="C26" s="253"/>
      <c r="D26" s="31" t="s">
        <v>165</v>
      </c>
      <c r="E26" s="31" t="s">
        <v>111</v>
      </c>
      <c r="F26" s="33">
        <v>746225</v>
      </c>
      <c r="G26" s="34">
        <v>1776.99</v>
      </c>
      <c r="H26" s="35">
        <v>7.5776169736118896E-3</v>
      </c>
    </row>
    <row r="27" spans="1:8" ht="26">
      <c r="A27" s="32">
        <v>21</v>
      </c>
      <c r="B27" s="253" t="s">
        <v>1153</v>
      </c>
      <c r="C27" s="253"/>
      <c r="D27" s="31" t="s">
        <v>1154</v>
      </c>
      <c r="E27" s="31" t="s">
        <v>168</v>
      </c>
      <c r="F27" s="33">
        <v>881646</v>
      </c>
      <c r="G27" s="34">
        <v>1760.38</v>
      </c>
      <c r="H27" s="35">
        <v>7.5068165353416108E-3</v>
      </c>
    </row>
    <row r="28" spans="1:8" ht="26">
      <c r="A28" s="32">
        <v>22</v>
      </c>
      <c r="B28" s="253" t="s">
        <v>1155</v>
      </c>
      <c r="C28" s="253"/>
      <c r="D28" s="31" t="s">
        <v>1156</v>
      </c>
      <c r="E28" s="31" t="s">
        <v>273</v>
      </c>
      <c r="F28" s="33">
        <v>313467</v>
      </c>
      <c r="G28" s="34">
        <v>1755.57</v>
      </c>
      <c r="H28" s="35">
        <v>7.4863024989248713E-3</v>
      </c>
    </row>
    <row r="29" spans="1:8" ht="26">
      <c r="A29" s="32">
        <v>23</v>
      </c>
      <c r="B29" s="253" t="s">
        <v>285</v>
      </c>
      <c r="C29" s="253"/>
      <c r="D29" s="31" t="s">
        <v>286</v>
      </c>
      <c r="E29" s="31" t="s">
        <v>136</v>
      </c>
      <c r="F29" s="33">
        <v>413654</v>
      </c>
      <c r="G29" s="34">
        <v>1729.9</v>
      </c>
      <c r="H29" s="35">
        <v>7.3768338065135193E-3</v>
      </c>
    </row>
    <row r="30" spans="1:8" ht="26">
      <c r="A30" s="32">
        <v>24</v>
      </c>
      <c r="B30" s="253" t="s">
        <v>1157</v>
      </c>
      <c r="C30" s="253"/>
      <c r="D30" s="31" t="s">
        <v>1158</v>
      </c>
      <c r="E30" s="31" t="s">
        <v>117</v>
      </c>
      <c r="F30" s="33">
        <v>23067</v>
      </c>
      <c r="G30" s="34">
        <v>1701.08</v>
      </c>
      <c r="H30" s="35">
        <v>7.2539145963314141E-3</v>
      </c>
    </row>
    <row r="31" spans="1:8" ht="39">
      <c r="A31" s="32">
        <v>25</v>
      </c>
      <c r="B31" s="253" t="s">
        <v>1159</v>
      </c>
      <c r="C31" s="253"/>
      <c r="D31" s="31" t="s">
        <v>1160</v>
      </c>
      <c r="E31" s="31" t="s">
        <v>353</v>
      </c>
      <c r="F31" s="33">
        <v>218106</v>
      </c>
      <c r="G31" s="34">
        <v>1692.72</v>
      </c>
      <c r="H31" s="35">
        <v>7.2182852266233118E-3</v>
      </c>
    </row>
    <row r="32" spans="1:8" ht="26">
      <c r="A32" s="32">
        <v>26</v>
      </c>
      <c r="B32" s="253" t="s">
        <v>1161</v>
      </c>
      <c r="C32" s="253"/>
      <c r="D32" s="31" t="s">
        <v>1162</v>
      </c>
      <c r="E32" s="31" t="s">
        <v>114</v>
      </c>
      <c r="F32" s="33">
        <v>84215</v>
      </c>
      <c r="G32" s="34">
        <v>1611.62</v>
      </c>
      <c r="H32" s="35">
        <v>6.8724573353917406E-3</v>
      </c>
    </row>
    <row r="33" spans="1:8" ht="26">
      <c r="A33" s="32">
        <v>27</v>
      </c>
      <c r="B33" s="253" t="s">
        <v>1163</v>
      </c>
      <c r="C33" s="253"/>
      <c r="D33" s="31" t="s">
        <v>1164</v>
      </c>
      <c r="E33" s="31" t="s">
        <v>1165</v>
      </c>
      <c r="F33" s="33">
        <v>147983</v>
      </c>
      <c r="G33" s="34">
        <v>1594.81</v>
      </c>
      <c r="H33" s="35">
        <v>6.8007757214356536E-3</v>
      </c>
    </row>
    <row r="34" spans="1:8" ht="26">
      <c r="A34" s="32">
        <v>28</v>
      </c>
      <c r="B34" s="253" t="s">
        <v>1166</v>
      </c>
      <c r="C34" s="253"/>
      <c r="D34" s="31" t="s">
        <v>1167</v>
      </c>
      <c r="E34" s="31" t="s">
        <v>802</v>
      </c>
      <c r="F34" s="33">
        <v>509613</v>
      </c>
      <c r="G34" s="34">
        <v>1591.78</v>
      </c>
      <c r="H34" s="35">
        <v>6.7878267803053822E-3</v>
      </c>
    </row>
    <row r="35" spans="1:8" ht="39">
      <c r="A35" s="32">
        <v>29</v>
      </c>
      <c r="B35" s="253" t="s">
        <v>294</v>
      </c>
      <c r="C35" s="253"/>
      <c r="D35" s="31" t="s">
        <v>80</v>
      </c>
      <c r="E35" s="31" t="s">
        <v>39</v>
      </c>
      <c r="F35" s="33">
        <v>501345</v>
      </c>
      <c r="G35" s="34">
        <v>1580.99</v>
      </c>
      <c r="H35" s="35">
        <v>6.7418372743432362E-3</v>
      </c>
    </row>
    <row r="36" spans="1:8" ht="26">
      <c r="A36" s="32">
        <v>30</v>
      </c>
      <c r="B36" s="253" t="s">
        <v>1168</v>
      </c>
      <c r="C36" s="253"/>
      <c r="D36" s="31" t="s">
        <v>1169</v>
      </c>
      <c r="E36" s="31" t="s">
        <v>114</v>
      </c>
      <c r="F36" s="33">
        <v>844881</v>
      </c>
      <c r="G36" s="34">
        <v>1520.53</v>
      </c>
      <c r="H36" s="35">
        <v>6.4840208522546315E-3</v>
      </c>
    </row>
    <row r="37" spans="1:8" ht="26">
      <c r="A37" s="32">
        <v>31</v>
      </c>
      <c r="B37" s="253" t="s">
        <v>1170</v>
      </c>
      <c r="C37" s="253"/>
      <c r="D37" s="31" t="s">
        <v>1171</v>
      </c>
      <c r="E37" s="31" t="s">
        <v>83</v>
      </c>
      <c r="F37" s="33">
        <v>74431</v>
      </c>
      <c r="G37" s="34">
        <v>1512.36</v>
      </c>
      <c r="H37" s="35">
        <v>6.4491863596903634E-3</v>
      </c>
    </row>
    <row r="38" spans="1:8" ht="26">
      <c r="A38" s="32">
        <v>32</v>
      </c>
      <c r="B38" s="253" t="s">
        <v>1172</v>
      </c>
      <c r="C38" s="253"/>
      <c r="D38" s="31" t="s">
        <v>1173</v>
      </c>
      <c r="E38" s="31" t="s">
        <v>83</v>
      </c>
      <c r="F38" s="33">
        <v>655854</v>
      </c>
      <c r="G38" s="34">
        <v>1509.71</v>
      </c>
      <c r="H38" s="35">
        <v>6.4378724363635164E-3</v>
      </c>
    </row>
    <row r="39" spans="1:8" ht="26">
      <c r="A39" s="32">
        <v>33</v>
      </c>
      <c r="B39" s="253" t="s">
        <v>1174</v>
      </c>
      <c r="C39" s="253"/>
      <c r="D39" s="31" t="s">
        <v>1175</v>
      </c>
      <c r="E39" s="31" t="s">
        <v>397</v>
      </c>
      <c r="F39" s="33">
        <v>882066</v>
      </c>
      <c r="G39" s="34">
        <v>1473.4</v>
      </c>
      <c r="H39" s="35">
        <v>6.2830469647559093E-3</v>
      </c>
    </row>
    <row r="40" spans="1:8" ht="26">
      <c r="A40" s="32">
        <v>34</v>
      </c>
      <c r="B40" s="253" t="s">
        <v>1176</v>
      </c>
      <c r="C40" s="253"/>
      <c r="D40" s="31" t="s">
        <v>1177</v>
      </c>
      <c r="E40" s="31" t="s">
        <v>114</v>
      </c>
      <c r="F40" s="33">
        <v>290617</v>
      </c>
      <c r="G40" s="34">
        <v>1439.57</v>
      </c>
      <c r="H40" s="35">
        <v>6.1387779595021641E-3</v>
      </c>
    </row>
    <row r="41" spans="1:8" ht="26">
      <c r="A41" s="32">
        <v>35</v>
      </c>
      <c r="B41" s="253" t="s">
        <v>1178</v>
      </c>
      <c r="C41" s="253"/>
      <c r="D41" s="31" t="s">
        <v>1179</v>
      </c>
      <c r="E41" s="31" t="s">
        <v>408</v>
      </c>
      <c r="F41" s="33">
        <v>686441</v>
      </c>
      <c r="G41" s="34">
        <v>1420.93</v>
      </c>
      <c r="H41" s="35">
        <v>6.0592978803653726E-3</v>
      </c>
    </row>
    <row r="42" spans="1:8" ht="26">
      <c r="A42" s="32">
        <v>36</v>
      </c>
      <c r="B42" s="253" t="s">
        <v>1180</v>
      </c>
      <c r="C42" s="253"/>
      <c r="D42" s="31" t="s">
        <v>1181</v>
      </c>
      <c r="E42" s="31" t="s">
        <v>316</v>
      </c>
      <c r="F42" s="33">
        <v>7095223</v>
      </c>
      <c r="G42" s="34">
        <v>1420.46</v>
      </c>
      <c r="H42" s="35">
        <v>6.0572969579209268E-3</v>
      </c>
    </row>
    <row r="43" spans="1:8" ht="26">
      <c r="A43" s="32">
        <v>37</v>
      </c>
      <c r="B43" s="253" t="s">
        <v>1182</v>
      </c>
      <c r="C43" s="253"/>
      <c r="D43" s="31" t="s">
        <v>1183</v>
      </c>
      <c r="E43" s="31" t="s">
        <v>168</v>
      </c>
      <c r="F43" s="33">
        <v>323413</v>
      </c>
      <c r="G43" s="34">
        <v>1416.71</v>
      </c>
      <c r="H43" s="35">
        <v>6.0412930115611354E-3</v>
      </c>
    </row>
    <row r="44" spans="1:8" ht="26">
      <c r="A44" s="32">
        <v>38</v>
      </c>
      <c r="B44" s="253" t="s">
        <v>1184</v>
      </c>
      <c r="C44" s="253"/>
      <c r="D44" s="31" t="s">
        <v>1185</v>
      </c>
      <c r="E44" s="31" t="s">
        <v>114</v>
      </c>
      <c r="F44" s="33">
        <v>123327</v>
      </c>
      <c r="G44" s="34">
        <v>1407.16</v>
      </c>
      <c r="H44" s="35">
        <v>6.0005706594595636E-3</v>
      </c>
    </row>
    <row r="45" spans="1:8" ht="26">
      <c r="A45" s="32">
        <v>39</v>
      </c>
      <c r="B45" s="253" t="s">
        <v>254</v>
      </c>
      <c r="C45" s="253"/>
      <c r="D45" s="31" t="s">
        <v>255</v>
      </c>
      <c r="E45" s="31" t="s">
        <v>256</v>
      </c>
      <c r="F45" s="33">
        <v>313019</v>
      </c>
      <c r="G45" s="34">
        <v>1403.26</v>
      </c>
      <c r="H45" s="35">
        <v>5.9839531006758671E-3</v>
      </c>
    </row>
    <row r="46" spans="1:8" ht="26">
      <c r="A46" s="32">
        <v>40</v>
      </c>
      <c r="B46" s="253" t="s">
        <v>1186</v>
      </c>
      <c r="C46" s="253"/>
      <c r="D46" s="31" t="s">
        <v>1187</v>
      </c>
      <c r="E46" s="31" t="s">
        <v>136</v>
      </c>
      <c r="F46" s="33">
        <v>50067</v>
      </c>
      <c r="G46" s="34">
        <v>1376.49</v>
      </c>
      <c r="H46" s="35">
        <v>5.8697883776720056E-3</v>
      </c>
    </row>
    <row r="47" spans="1:8" ht="26">
      <c r="A47" s="32">
        <v>41</v>
      </c>
      <c r="B47" s="253" t="s">
        <v>1188</v>
      </c>
      <c r="C47" s="253"/>
      <c r="D47" s="31" t="s">
        <v>1189</v>
      </c>
      <c r="E47" s="31" t="s">
        <v>53</v>
      </c>
      <c r="F47" s="33">
        <v>57228</v>
      </c>
      <c r="G47" s="34">
        <v>1371.7</v>
      </c>
      <c r="H47" s="35">
        <v>5.8493448546018678E-3</v>
      </c>
    </row>
    <row r="48" spans="1:8" ht="26">
      <c r="A48" s="32">
        <v>42</v>
      </c>
      <c r="B48" s="253" t="s">
        <v>1190</v>
      </c>
      <c r="C48" s="253"/>
      <c r="D48" s="31" t="s">
        <v>1191</v>
      </c>
      <c r="E48" s="31" t="s">
        <v>117</v>
      </c>
      <c r="F48" s="33">
        <v>92973</v>
      </c>
      <c r="G48" s="34">
        <v>1370.33</v>
      </c>
      <c r="H48" s="35">
        <v>5.843507504960598E-3</v>
      </c>
    </row>
    <row r="49" spans="1:8" ht="39">
      <c r="A49" s="32">
        <v>43</v>
      </c>
      <c r="B49" s="253" t="s">
        <v>1192</v>
      </c>
      <c r="C49" s="253"/>
      <c r="D49" s="31" t="s">
        <v>1193</v>
      </c>
      <c r="E49" s="31" t="s">
        <v>735</v>
      </c>
      <c r="F49" s="33">
        <v>725201</v>
      </c>
      <c r="G49" s="34">
        <v>1337.92</v>
      </c>
      <c r="H49" s="35">
        <v>5.705319468510826E-3</v>
      </c>
    </row>
    <row r="50" spans="1:8" ht="26">
      <c r="A50" s="32">
        <v>44</v>
      </c>
      <c r="B50" s="253" t="s">
        <v>1194</v>
      </c>
      <c r="C50" s="253"/>
      <c r="D50" s="31" t="s">
        <v>1195</v>
      </c>
      <c r="E50" s="31" t="s">
        <v>211</v>
      </c>
      <c r="F50" s="33">
        <v>775457</v>
      </c>
      <c r="G50" s="34">
        <v>1336.97</v>
      </c>
      <c r="H50" s="35">
        <v>5.7012346384486294E-3</v>
      </c>
    </row>
    <row r="51" spans="1:8" ht="26">
      <c r="A51" s="32">
        <v>45</v>
      </c>
      <c r="B51" s="253" t="s">
        <v>1196</v>
      </c>
      <c r="C51" s="253"/>
      <c r="D51" s="31" t="s">
        <v>1197</v>
      </c>
      <c r="E51" s="31" t="s">
        <v>111</v>
      </c>
      <c r="F51" s="33">
        <v>306226</v>
      </c>
      <c r="G51" s="34">
        <v>1330.71</v>
      </c>
      <c r="H51" s="35">
        <v>5.6745386492560532E-3</v>
      </c>
    </row>
    <row r="52" spans="1:8" ht="26">
      <c r="A52" s="32">
        <v>46</v>
      </c>
      <c r="B52" s="253" t="s">
        <v>1198</v>
      </c>
      <c r="C52" s="253"/>
      <c r="D52" s="31" t="s">
        <v>1199</v>
      </c>
      <c r="E52" s="31" t="s">
        <v>136</v>
      </c>
      <c r="F52" s="33">
        <v>778867</v>
      </c>
      <c r="G52" s="34">
        <v>1330.69</v>
      </c>
      <c r="H52" s="35">
        <v>5.6744925371426573E-3</v>
      </c>
    </row>
    <row r="53" spans="1:8" ht="26">
      <c r="A53" s="32">
        <v>47</v>
      </c>
      <c r="B53" s="253" t="s">
        <v>1200</v>
      </c>
      <c r="C53" s="253"/>
      <c r="D53" s="31" t="s">
        <v>1201</v>
      </c>
      <c r="E53" s="31" t="s">
        <v>136</v>
      </c>
      <c r="F53" s="33">
        <v>97763</v>
      </c>
      <c r="G53" s="34">
        <v>1317.94</v>
      </c>
      <c r="H53" s="35">
        <v>5.6201171871830052E-3</v>
      </c>
    </row>
    <row r="54" spans="1:8" ht="26">
      <c r="A54" s="32">
        <v>48</v>
      </c>
      <c r="B54" s="253" t="s">
        <v>1202</v>
      </c>
      <c r="C54" s="253"/>
      <c r="D54" s="31" t="s">
        <v>1203</v>
      </c>
      <c r="E54" s="31" t="s">
        <v>23</v>
      </c>
      <c r="F54" s="33">
        <v>279929</v>
      </c>
      <c r="G54" s="34">
        <v>1317.77</v>
      </c>
      <c r="H54" s="35">
        <v>5.6193614001137145E-3</v>
      </c>
    </row>
    <row r="55" spans="1:8" ht="26">
      <c r="A55" s="32">
        <v>49</v>
      </c>
      <c r="B55" s="253" t="s">
        <v>1204</v>
      </c>
      <c r="C55" s="253"/>
      <c r="D55" s="31" t="s">
        <v>1205</v>
      </c>
      <c r="E55" s="31" t="s">
        <v>136</v>
      </c>
      <c r="F55" s="33">
        <v>239825</v>
      </c>
      <c r="G55" s="34">
        <v>1316.88</v>
      </c>
      <c r="H55" s="35">
        <v>5.6155802686477458E-3</v>
      </c>
    </row>
    <row r="56" spans="1:8" ht="26">
      <c r="A56" s="32">
        <v>50</v>
      </c>
      <c r="B56" s="253" t="s">
        <v>1206</v>
      </c>
      <c r="C56" s="253"/>
      <c r="D56" s="31" t="s">
        <v>1207</v>
      </c>
      <c r="E56" s="31" t="s">
        <v>83</v>
      </c>
      <c r="F56" s="33">
        <v>38952</v>
      </c>
      <c r="G56" s="34">
        <v>1293.44</v>
      </c>
      <c r="H56" s="35">
        <v>5.5156292703828795E-3</v>
      </c>
    </row>
    <row r="57" spans="1:8" ht="39">
      <c r="A57" s="32">
        <v>51</v>
      </c>
      <c r="B57" s="253" t="s">
        <v>1208</v>
      </c>
      <c r="C57" s="253"/>
      <c r="D57" s="31" t="s">
        <v>771</v>
      </c>
      <c r="E57" s="31" t="s">
        <v>141</v>
      </c>
      <c r="F57" s="33">
        <v>83466</v>
      </c>
      <c r="G57" s="34">
        <v>1274.19</v>
      </c>
      <c r="H57" s="35">
        <v>5.433549171235238E-3</v>
      </c>
    </row>
    <row r="58" spans="1:8" ht="39">
      <c r="A58" s="32">
        <v>52</v>
      </c>
      <c r="B58" s="253" t="s">
        <v>1209</v>
      </c>
      <c r="C58" s="253"/>
      <c r="D58" s="31" t="s">
        <v>1210</v>
      </c>
      <c r="E58" s="31" t="s">
        <v>141</v>
      </c>
      <c r="F58" s="33">
        <v>271152</v>
      </c>
      <c r="G58" s="34">
        <v>1265.74</v>
      </c>
      <c r="H58" s="35">
        <v>5.3974969056657055E-3</v>
      </c>
    </row>
    <row r="59" spans="1:8" ht="39">
      <c r="A59" s="32">
        <v>53</v>
      </c>
      <c r="B59" s="253" t="s">
        <v>1211</v>
      </c>
      <c r="C59" s="253"/>
      <c r="D59" s="31" t="s">
        <v>1212</v>
      </c>
      <c r="E59" s="31" t="s">
        <v>146</v>
      </c>
      <c r="F59" s="33">
        <v>167733</v>
      </c>
      <c r="G59" s="34">
        <v>1263.3599999999999</v>
      </c>
      <c r="H59" s="35">
        <v>5.3873794896578701E-3</v>
      </c>
    </row>
    <row r="60" spans="1:8" ht="26">
      <c r="A60" s="32">
        <v>54</v>
      </c>
      <c r="B60" s="253" t="s">
        <v>1213</v>
      </c>
      <c r="C60" s="253"/>
      <c r="D60" s="31" t="s">
        <v>1214</v>
      </c>
      <c r="E60" s="31" t="s">
        <v>211</v>
      </c>
      <c r="F60" s="33">
        <v>319163</v>
      </c>
      <c r="G60" s="34">
        <v>1263.0899999999999</v>
      </c>
      <c r="H60" s="35">
        <v>5.386196640496531E-3</v>
      </c>
    </row>
    <row r="61" spans="1:8" ht="26">
      <c r="A61" s="32">
        <v>55</v>
      </c>
      <c r="B61" s="253" t="s">
        <v>1215</v>
      </c>
      <c r="C61" s="253"/>
      <c r="D61" s="31" t="s">
        <v>1216</v>
      </c>
      <c r="E61" s="31" t="s">
        <v>53</v>
      </c>
      <c r="F61" s="33">
        <v>379348</v>
      </c>
      <c r="G61" s="34">
        <v>1253.93</v>
      </c>
      <c r="H61" s="35">
        <v>5.3471664432581875E-3</v>
      </c>
    </row>
    <row r="62" spans="1:8" ht="39">
      <c r="A62" s="32">
        <v>56</v>
      </c>
      <c r="B62" s="253" t="s">
        <v>1217</v>
      </c>
      <c r="C62" s="253"/>
      <c r="D62" s="31" t="s">
        <v>1218</v>
      </c>
      <c r="E62" s="31" t="s">
        <v>141</v>
      </c>
      <c r="F62" s="33">
        <v>233731</v>
      </c>
      <c r="G62" s="34">
        <v>1240.4100000000001</v>
      </c>
      <c r="H62" s="35">
        <v>5.2894942253754948E-3</v>
      </c>
    </row>
    <row r="63" spans="1:8" ht="26">
      <c r="A63" s="32">
        <v>57</v>
      </c>
      <c r="B63" s="253" t="s">
        <v>1219</v>
      </c>
      <c r="C63" s="253"/>
      <c r="D63" s="31" t="s">
        <v>1220</v>
      </c>
      <c r="E63" s="31" t="s">
        <v>114</v>
      </c>
      <c r="F63" s="33">
        <v>197616</v>
      </c>
      <c r="G63" s="34">
        <v>1227.99</v>
      </c>
      <c r="H63" s="35">
        <v>5.2365119124043666E-3</v>
      </c>
    </row>
    <row r="64" spans="1:8" ht="26">
      <c r="A64" s="32">
        <v>58</v>
      </c>
      <c r="B64" s="253" t="s">
        <v>40</v>
      </c>
      <c r="C64" s="253"/>
      <c r="D64" s="31" t="s">
        <v>41</v>
      </c>
      <c r="E64" s="31" t="s">
        <v>13</v>
      </c>
      <c r="F64" s="33">
        <v>199394</v>
      </c>
      <c r="G64" s="34">
        <v>1220.49</v>
      </c>
      <c r="H64" s="35">
        <v>5.2045502712411073E-3</v>
      </c>
    </row>
    <row r="65" spans="1:8" ht="26">
      <c r="A65" s="32">
        <v>59</v>
      </c>
      <c r="B65" s="253" t="s">
        <v>1221</v>
      </c>
      <c r="C65" s="253"/>
      <c r="D65" s="31" t="s">
        <v>1222</v>
      </c>
      <c r="E65" s="31" t="s">
        <v>83</v>
      </c>
      <c r="F65" s="33">
        <v>222762</v>
      </c>
      <c r="G65" s="34">
        <v>1212.49</v>
      </c>
      <c r="H65" s="35">
        <v>5.1704481256883393E-3</v>
      </c>
    </row>
    <row r="66" spans="1:8" ht="26">
      <c r="A66" s="32">
        <v>60</v>
      </c>
      <c r="B66" s="253" t="s">
        <v>1223</v>
      </c>
      <c r="C66" s="253"/>
      <c r="D66" s="31" t="s">
        <v>1224</v>
      </c>
      <c r="E66" s="31" t="s">
        <v>127</v>
      </c>
      <c r="F66" s="33">
        <v>329024</v>
      </c>
      <c r="G66" s="34">
        <v>1208.3399999999999</v>
      </c>
      <c r="H66" s="35">
        <v>5.1527387628884525E-3</v>
      </c>
    </row>
    <row r="67" spans="1:8" ht="39">
      <c r="A67" s="32">
        <v>61</v>
      </c>
      <c r="B67" s="253" t="s">
        <v>1225</v>
      </c>
      <c r="C67" s="253"/>
      <c r="D67" s="31" t="s">
        <v>1226</v>
      </c>
      <c r="E67" s="31" t="s">
        <v>146</v>
      </c>
      <c r="F67" s="33">
        <v>29582</v>
      </c>
      <c r="G67" s="34">
        <v>1188.52</v>
      </c>
      <c r="H67" s="35">
        <v>5.0682004171038013E-3</v>
      </c>
    </row>
    <row r="68" spans="1:8" ht="26">
      <c r="A68" s="32">
        <v>62</v>
      </c>
      <c r="B68" s="253" t="s">
        <v>1227</v>
      </c>
      <c r="C68" s="253"/>
      <c r="D68" s="31" t="s">
        <v>1228</v>
      </c>
      <c r="E68" s="31" t="s">
        <v>345</v>
      </c>
      <c r="F68" s="33">
        <v>273716</v>
      </c>
      <c r="G68" s="34">
        <v>1182.32</v>
      </c>
      <c r="H68" s="35">
        <v>5.0417627542517973E-3</v>
      </c>
    </row>
    <row r="69" spans="1:8">
      <c r="A69" s="32">
        <v>63</v>
      </c>
      <c r="B69" s="253" t="s">
        <v>1229</v>
      </c>
      <c r="C69" s="253"/>
      <c r="D69" s="31" t="s">
        <v>1230</v>
      </c>
      <c r="E69" s="31" t="s">
        <v>127</v>
      </c>
      <c r="F69" s="33">
        <v>1778540</v>
      </c>
      <c r="G69" s="34">
        <v>1177.93</v>
      </c>
      <c r="H69" s="35">
        <v>5.0230457606457186E-3</v>
      </c>
    </row>
    <row r="70" spans="1:8" ht="26">
      <c r="A70" s="32">
        <v>64</v>
      </c>
      <c r="B70" s="253" t="s">
        <v>1231</v>
      </c>
      <c r="C70" s="253"/>
      <c r="D70" s="31" t="s">
        <v>1232</v>
      </c>
      <c r="E70" s="31" t="s">
        <v>802</v>
      </c>
      <c r="F70" s="33">
        <v>211503</v>
      </c>
      <c r="G70" s="34">
        <v>1163.3699999999999</v>
      </c>
      <c r="H70" s="35">
        <v>4.960979625722812E-3</v>
      </c>
    </row>
    <row r="71" spans="1:8" ht="26">
      <c r="A71" s="32">
        <v>65</v>
      </c>
      <c r="B71" s="253" t="s">
        <v>1233</v>
      </c>
      <c r="C71" s="253"/>
      <c r="D71" s="31" t="s">
        <v>1234</v>
      </c>
      <c r="E71" s="31" t="s">
        <v>111</v>
      </c>
      <c r="F71" s="33">
        <v>143996</v>
      </c>
      <c r="G71" s="34">
        <v>1155.6400000000001</v>
      </c>
      <c r="H71" s="35">
        <v>4.9280064753636499E-3</v>
      </c>
    </row>
    <row r="72" spans="1:8" ht="26">
      <c r="A72" s="32">
        <v>66</v>
      </c>
      <c r="B72" s="253" t="s">
        <v>1235</v>
      </c>
      <c r="C72" s="253"/>
      <c r="D72" s="31" t="s">
        <v>1236</v>
      </c>
      <c r="E72" s="31" t="s">
        <v>316</v>
      </c>
      <c r="F72" s="33">
        <v>180723</v>
      </c>
      <c r="G72" s="34">
        <v>1155.6300000000001</v>
      </c>
      <c r="H72" s="35">
        <v>4.9279780132282765E-3</v>
      </c>
    </row>
    <row r="73" spans="1:8" ht="39">
      <c r="A73" s="32">
        <v>67</v>
      </c>
      <c r="B73" s="253" t="s">
        <v>1237</v>
      </c>
      <c r="C73" s="253"/>
      <c r="D73" s="31" t="s">
        <v>1238</v>
      </c>
      <c r="E73" s="31" t="s">
        <v>146</v>
      </c>
      <c r="F73" s="33">
        <v>699422</v>
      </c>
      <c r="G73" s="34">
        <v>1146</v>
      </c>
      <c r="H73" s="35">
        <v>4.8869115313305202E-3</v>
      </c>
    </row>
    <row r="74" spans="1:8" ht="26">
      <c r="A74" s="32">
        <v>68</v>
      </c>
      <c r="B74" s="253" t="s">
        <v>1239</v>
      </c>
      <c r="C74" s="253"/>
      <c r="D74" s="31" t="s">
        <v>1240</v>
      </c>
      <c r="E74" s="31" t="s">
        <v>83</v>
      </c>
      <c r="F74" s="33">
        <v>10744714</v>
      </c>
      <c r="G74" s="34">
        <v>1142.1600000000001</v>
      </c>
      <c r="H74" s="35">
        <v>4.8705372266846124E-3</v>
      </c>
    </row>
    <row r="75" spans="1:8" ht="26">
      <c r="A75" s="32">
        <v>69</v>
      </c>
      <c r="B75" s="253" t="s">
        <v>1241</v>
      </c>
      <c r="C75" s="253"/>
      <c r="D75" s="31" t="s">
        <v>819</v>
      </c>
      <c r="E75" s="31" t="s">
        <v>256</v>
      </c>
      <c r="F75" s="33">
        <v>510093</v>
      </c>
      <c r="G75" s="34">
        <v>1136.3900000000001</v>
      </c>
      <c r="H75" s="35">
        <v>4.8458984168427543E-3</v>
      </c>
    </row>
    <row r="76" spans="1:8" ht="26">
      <c r="A76" s="32">
        <v>70</v>
      </c>
      <c r="B76" s="253" t="s">
        <v>159</v>
      </c>
      <c r="C76" s="253"/>
      <c r="D76" s="31" t="s">
        <v>160</v>
      </c>
      <c r="E76" s="31" t="s">
        <v>23</v>
      </c>
      <c r="F76" s="33">
        <v>56858</v>
      </c>
      <c r="G76" s="34">
        <v>1134.6600000000001</v>
      </c>
      <c r="H76" s="35">
        <v>4.8385342208639931E-3</v>
      </c>
    </row>
    <row r="77" spans="1:8" ht="26">
      <c r="A77" s="32">
        <v>71</v>
      </c>
      <c r="B77" s="253" t="s">
        <v>1242</v>
      </c>
      <c r="C77" s="253"/>
      <c r="D77" s="31" t="s">
        <v>1243</v>
      </c>
      <c r="E77" s="31" t="s">
        <v>13</v>
      </c>
      <c r="F77" s="33">
        <v>220750</v>
      </c>
      <c r="G77" s="34">
        <v>1128.58</v>
      </c>
      <c r="H77" s="35">
        <v>4.8126333450580101E-3</v>
      </c>
    </row>
    <row r="78" spans="1:8" ht="26">
      <c r="A78" s="32">
        <v>72</v>
      </c>
      <c r="B78" s="253" t="s">
        <v>1244</v>
      </c>
      <c r="C78" s="253"/>
      <c r="D78" s="31" t="s">
        <v>1245</v>
      </c>
      <c r="E78" s="31" t="s">
        <v>768</v>
      </c>
      <c r="F78" s="33">
        <v>12717</v>
      </c>
      <c r="G78" s="34">
        <v>1118.8399999999999</v>
      </c>
      <c r="H78" s="35">
        <v>4.7710873905693202E-3</v>
      </c>
    </row>
    <row r="79" spans="1:8" ht="26">
      <c r="A79" s="32">
        <v>73</v>
      </c>
      <c r="B79" s="253" t="s">
        <v>1246</v>
      </c>
      <c r="C79" s="253"/>
      <c r="D79" s="31" t="s">
        <v>1247</v>
      </c>
      <c r="E79" s="31" t="s">
        <v>83</v>
      </c>
      <c r="F79" s="33">
        <v>43108</v>
      </c>
      <c r="G79" s="34">
        <v>1100.29</v>
      </c>
      <c r="H79" s="35">
        <v>4.691971361951674E-3</v>
      </c>
    </row>
    <row r="80" spans="1:8" ht="26">
      <c r="A80" s="32">
        <v>74</v>
      </c>
      <c r="B80" s="253" t="s">
        <v>1248</v>
      </c>
      <c r="C80" s="253"/>
      <c r="D80" s="31" t="s">
        <v>1249</v>
      </c>
      <c r="E80" s="31" t="s">
        <v>408</v>
      </c>
      <c r="F80" s="33">
        <v>220657</v>
      </c>
      <c r="G80" s="34">
        <v>1088.17</v>
      </c>
      <c r="H80" s="35">
        <v>4.6402939128365349E-3</v>
      </c>
    </row>
    <row r="81" spans="1:8" ht="39">
      <c r="A81" s="32">
        <v>75</v>
      </c>
      <c r="B81" s="253" t="s">
        <v>1250</v>
      </c>
      <c r="C81" s="253"/>
      <c r="D81" s="31" t="s">
        <v>1251</v>
      </c>
      <c r="E81" s="31" t="s">
        <v>141</v>
      </c>
      <c r="F81" s="33">
        <v>108069</v>
      </c>
      <c r="G81" s="34">
        <v>1082.8499999999999</v>
      </c>
      <c r="H81" s="35">
        <v>4.617613688945572E-3</v>
      </c>
    </row>
    <row r="82" spans="1:8" ht="26">
      <c r="A82" s="32">
        <v>76</v>
      </c>
      <c r="B82" s="253" t="s">
        <v>1252</v>
      </c>
      <c r="C82" s="253"/>
      <c r="D82" s="31" t="s">
        <v>1253</v>
      </c>
      <c r="E82" s="31" t="s">
        <v>768</v>
      </c>
      <c r="F82" s="33">
        <v>109080</v>
      </c>
      <c r="G82" s="34">
        <v>1063.6400000000001</v>
      </c>
      <c r="H82" s="35">
        <v>4.5356864908880426E-3</v>
      </c>
    </row>
    <row r="83" spans="1:8" ht="26">
      <c r="A83" s="32">
        <v>77</v>
      </c>
      <c r="B83" s="253" t="s">
        <v>84</v>
      </c>
      <c r="C83" s="253"/>
      <c r="D83" s="31" t="s">
        <v>85</v>
      </c>
      <c r="E83" s="31" t="s">
        <v>13</v>
      </c>
      <c r="F83" s="33">
        <v>51687</v>
      </c>
      <c r="G83" s="34">
        <v>1060.1500000000001</v>
      </c>
      <c r="H83" s="35">
        <v>4.5208167447383278E-3</v>
      </c>
    </row>
    <row r="84" spans="1:8" ht="39">
      <c r="A84" s="32">
        <v>78</v>
      </c>
      <c r="B84" s="253" t="s">
        <v>1254</v>
      </c>
      <c r="C84" s="253"/>
      <c r="D84" s="31" t="s">
        <v>1255</v>
      </c>
      <c r="E84" s="31" t="s">
        <v>141</v>
      </c>
      <c r="F84" s="33">
        <v>24975</v>
      </c>
      <c r="G84" s="34">
        <v>1059.76</v>
      </c>
      <c r="H84" s="35">
        <v>4.519162695746955E-3</v>
      </c>
    </row>
    <row r="85" spans="1:8" ht="39">
      <c r="A85" s="32">
        <v>79</v>
      </c>
      <c r="B85" s="253" t="s">
        <v>1256</v>
      </c>
      <c r="C85" s="253"/>
      <c r="D85" s="31" t="s">
        <v>1257</v>
      </c>
      <c r="E85" s="31" t="s">
        <v>141</v>
      </c>
      <c r="F85" s="33">
        <v>186975</v>
      </c>
      <c r="G85" s="34">
        <v>1058.3699999999999</v>
      </c>
      <c r="H85" s="35">
        <v>4.5132259770279204E-3</v>
      </c>
    </row>
    <row r="86" spans="1:8" ht="39">
      <c r="A86" s="32">
        <v>80</v>
      </c>
      <c r="B86" s="253" t="s">
        <v>1258</v>
      </c>
      <c r="C86" s="253"/>
      <c r="D86" s="31" t="s">
        <v>1259</v>
      </c>
      <c r="E86" s="31" t="s">
        <v>141</v>
      </c>
      <c r="F86" s="33">
        <v>84754</v>
      </c>
      <c r="G86" s="34">
        <v>1055.44</v>
      </c>
      <c r="H86" s="35">
        <v>4.5007297350198663E-3</v>
      </c>
    </row>
    <row r="87" spans="1:8" ht="26">
      <c r="A87" s="32">
        <v>81</v>
      </c>
      <c r="B87" s="253" t="s">
        <v>1260</v>
      </c>
      <c r="C87" s="253"/>
      <c r="D87" s="31" t="s">
        <v>1261</v>
      </c>
      <c r="E87" s="31" t="s">
        <v>256</v>
      </c>
      <c r="F87" s="33">
        <v>130357</v>
      </c>
      <c r="G87" s="34">
        <v>1039.08</v>
      </c>
      <c r="H87" s="35">
        <v>4.4309404042475126E-3</v>
      </c>
    </row>
    <row r="88" spans="1:8" ht="39">
      <c r="A88" s="32">
        <v>82</v>
      </c>
      <c r="B88" s="253" t="s">
        <v>1262</v>
      </c>
      <c r="C88" s="253"/>
      <c r="D88" s="31" t="s">
        <v>1263</v>
      </c>
      <c r="E88" s="31" t="s">
        <v>48</v>
      </c>
      <c r="F88" s="33">
        <v>6277457</v>
      </c>
      <c r="G88" s="34">
        <v>1021.97</v>
      </c>
      <c r="H88" s="35">
        <v>4.3579966253953157E-3</v>
      </c>
    </row>
    <row r="89" spans="1:8" ht="39">
      <c r="A89" s="32">
        <v>83</v>
      </c>
      <c r="B89" s="253" t="s">
        <v>1264</v>
      </c>
      <c r="C89" s="253"/>
      <c r="D89" s="31" t="s">
        <v>1265</v>
      </c>
      <c r="E89" s="31" t="s">
        <v>146</v>
      </c>
      <c r="F89" s="33">
        <v>353576</v>
      </c>
      <c r="G89" s="34">
        <v>1021.66</v>
      </c>
      <c r="H89" s="35">
        <v>4.3566655313436731E-3</v>
      </c>
    </row>
    <row r="90" spans="1:8" ht="26">
      <c r="A90" s="32">
        <v>84</v>
      </c>
      <c r="B90" s="253" t="s">
        <v>1266</v>
      </c>
      <c r="C90" s="253"/>
      <c r="D90" s="31" t="s">
        <v>1267</v>
      </c>
      <c r="E90" s="31" t="s">
        <v>256</v>
      </c>
      <c r="F90" s="33">
        <v>74757</v>
      </c>
      <c r="G90" s="34">
        <v>1009.74</v>
      </c>
      <c r="H90" s="35">
        <v>4.3058560547585183E-3</v>
      </c>
    </row>
    <row r="91" spans="1:8" ht="26">
      <c r="A91" s="32">
        <v>85</v>
      </c>
      <c r="B91" s="253" t="s">
        <v>1268</v>
      </c>
      <c r="C91" s="253"/>
      <c r="D91" s="31" t="s">
        <v>1269</v>
      </c>
      <c r="E91" s="31" t="s">
        <v>408</v>
      </c>
      <c r="F91" s="33">
        <v>584298</v>
      </c>
      <c r="G91" s="34">
        <v>989.68</v>
      </c>
      <c r="H91" s="35">
        <v>4.2203189197874942E-3</v>
      </c>
    </row>
    <row r="92" spans="1:8" ht="26">
      <c r="A92" s="32">
        <v>86</v>
      </c>
      <c r="B92" s="253" t="s">
        <v>1270</v>
      </c>
      <c r="C92" s="253"/>
      <c r="D92" s="31" t="s">
        <v>1271</v>
      </c>
      <c r="E92" s="31" t="s">
        <v>266</v>
      </c>
      <c r="F92" s="33">
        <v>166034</v>
      </c>
      <c r="G92" s="34">
        <v>983</v>
      </c>
      <c r="H92" s="35">
        <v>4.1918348001916189E-3</v>
      </c>
    </row>
    <row r="93" spans="1:8" ht="26">
      <c r="A93" s="32">
        <v>87</v>
      </c>
      <c r="B93" s="253" t="s">
        <v>1272</v>
      </c>
      <c r="C93" s="253"/>
      <c r="D93" s="31" t="s">
        <v>1273</v>
      </c>
      <c r="E93" s="31" t="s">
        <v>408</v>
      </c>
      <c r="F93" s="33">
        <v>1540411</v>
      </c>
      <c r="G93" s="34">
        <v>976.93</v>
      </c>
      <c r="H93" s="35">
        <v>4.1659263859388741E-3</v>
      </c>
    </row>
    <row r="94" spans="1:8" ht="39">
      <c r="A94" s="32">
        <v>88</v>
      </c>
      <c r="B94" s="253" t="s">
        <v>1274</v>
      </c>
      <c r="C94" s="253"/>
      <c r="D94" s="31" t="s">
        <v>1275</v>
      </c>
      <c r="E94" s="31" t="s">
        <v>353</v>
      </c>
      <c r="F94" s="33">
        <v>92251</v>
      </c>
      <c r="G94" s="34">
        <v>973.99</v>
      </c>
      <c r="H94" s="35">
        <v>4.1533782357676225E-3</v>
      </c>
    </row>
    <row r="95" spans="1:8" ht="39">
      <c r="A95" s="32">
        <v>89</v>
      </c>
      <c r="B95" s="253" t="s">
        <v>1276</v>
      </c>
      <c r="C95" s="253"/>
      <c r="D95" s="31" t="s">
        <v>1277</v>
      </c>
      <c r="E95" s="31" t="s">
        <v>141</v>
      </c>
      <c r="F95" s="33">
        <v>627341</v>
      </c>
      <c r="G95" s="34">
        <v>971.88</v>
      </c>
      <c r="H95" s="35">
        <v>4.1443831826724524E-3</v>
      </c>
    </row>
    <row r="96" spans="1:8" ht="26">
      <c r="A96" s="32">
        <v>90</v>
      </c>
      <c r="B96" s="253" t="s">
        <v>1278</v>
      </c>
      <c r="C96" s="253"/>
      <c r="D96" s="31" t="s">
        <v>1279</v>
      </c>
      <c r="E96" s="31" t="s">
        <v>1165</v>
      </c>
      <c r="F96" s="33">
        <v>273232</v>
      </c>
      <c r="G96" s="34">
        <v>967.79</v>
      </c>
      <c r="H96" s="35">
        <v>4.1269467049930278E-3</v>
      </c>
    </row>
    <row r="97" spans="1:8" ht="39">
      <c r="A97" s="32">
        <v>91</v>
      </c>
      <c r="B97" s="253" t="s">
        <v>1280</v>
      </c>
      <c r="C97" s="253"/>
      <c r="D97" s="31" t="s">
        <v>1281</v>
      </c>
      <c r="E97" s="31" t="s">
        <v>146</v>
      </c>
      <c r="F97" s="33">
        <v>100027</v>
      </c>
      <c r="G97" s="34">
        <v>961.31</v>
      </c>
      <c r="H97" s="35">
        <v>4.0993213956312244E-3</v>
      </c>
    </row>
    <row r="98" spans="1:8" ht="26">
      <c r="A98" s="32">
        <v>92</v>
      </c>
      <c r="B98" s="253" t="s">
        <v>1282</v>
      </c>
      <c r="C98" s="253"/>
      <c r="D98" s="31" t="s">
        <v>1283</v>
      </c>
      <c r="E98" s="31" t="s">
        <v>802</v>
      </c>
      <c r="F98" s="33">
        <v>145943</v>
      </c>
      <c r="G98" s="34">
        <v>955.34</v>
      </c>
      <c r="H98" s="35">
        <v>4.0738779416704994E-3</v>
      </c>
    </row>
    <row r="99" spans="1:8" ht="26">
      <c r="A99" s="32">
        <v>93</v>
      </c>
      <c r="B99" s="253" t="s">
        <v>1284</v>
      </c>
      <c r="C99" s="253"/>
      <c r="D99" s="31" t="s">
        <v>1285</v>
      </c>
      <c r="E99" s="31" t="s">
        <v>211</v>
      </c>
      <c r="F99" s="33">
        <v>946285</v>
      </c>
      <c r="G99" s="34">
        <v>952.63</v>
      </c>
      <c r="H99" s="35">
        <v>4.0622885349792639E-3</v>
      </c>
    </row>
    <row r="100" spans="1:8" ht="26">
      <c r="A100" s="32">
        <v>94</v>
      </c>
      <c r="B100" s="253" t="s">
        <v>1286</v>
      </c>
      <c r="C100" s="253"/>
      <c r="D100" s="31" t="s">
        <v>1287</v>
      </c>
      <c r="E100" s="31" t="s">
        <v>13</v>
      </c>
      <c r="F100" s="33">
        <v>105319</v>
      </c>
      <c r="G100" s="34">
        <v>950.82</v>
      </c>
      <c r="H100" s="35">
        <v>4.0545906989798526E-3</v>
      </c>
    </row>
    <row r="101" spans="1:8" ht="39">
      <c r="A101" s="32">
        <v>95</v>
      </c>
      <c r="B101" s="253" t="s">
        <v>1288</v>
      </c>
      <c r="C101" s="253"/>
      <c r="D101" s="31" t="s">
        <v>1289</v>
      </c>
      <c r="E101" s="31" t="s">
        <v>1290</v>
      </c>
      <c r="F101" s="33">
        <v>867739</v>
      </c>
      <c r="G101" s="34">
        <v>922.84</v>
      </c>
      <c r="H101" s="35">
        <v>3.935277421097963E-3</v>
      </c>
    </row>
    <row r="102" spans="1:8" ht="26">
      <c r="A102" s="32">
        <v>96</v>
      </c>
      <c r="B102" s="253" t="s">
        <v>1291</v>
      </c>
      <c r="C102" s="253"/>
      <c r="D102" s="31" t="s">
        <v>1292</v>
      </c>
      <c r="E102" s="31" t="s">
        <v>768</v>
      </c>
      <c r="F102" s="33">
        <v>54188</v>
      </c>
      <c r="G102" s="34">
        <v>922.55</v>
      </c>
      <c r="H102" s="35">
        <v>3.9340419375614773E-3</v>
      </c>
    </row>
    <row r="103" spans="1:8" ht="26">
      <c r="A103" s="32">
        <v>97</v>
      </c>
      <c r="B103" s="253" t="s">
        <v>1293</v>
      </c>
      <c r="C103" s="253"/>
      <c r="D103" s="31" t="s">
        <v>1294</v>
      </c>
      <c r="E103" s="31" t="s">
        <v>256</v>
      </c>
      <c r="F103" s="33">
        <v>77590</v>
      </c>
      <c r="G103" s="34">
        <v>919.67</v>
      </c>
      <c r="H103" s="35">
        <v>3.9217759490901014E-3</v>
      </c>
    </row>
    <row r="104" spans="1:8" ht="26">
      <c r="A104" s="32">
        <v>98</v>
      </c>
      <c r="B104" s="253" t="s">
        <v>1295</v>
      </c>
      <c r="C104" s="253"/>
      <c r="D104" s="31" t="s">
        <v>1296</v>
      </c>
      <c r="E104" s="31" t="s">
        <v>23</v>
      </c>
      <c r="F104" s="33">
        <v>144473</v>
      </c>
      <c r="G104" s="34">
        <v>913.43</v>
      </c>
      <c r="H104" s="35">
        <v>3.8951507610850348E-3</v>
      </c>
    </row>
    <row r="105" spans="1:8" ht="26">
      <c r="A105" s="32">
        <v>99</v>
      </c>
      <c r="B105" s="253" t="s">
        <v>1297</v>
      </c>
      <c r="C105" s="253"/>
      <c r="D105" s="31" t="s">
        <v>1298</v>
      </c>
      <c r="E105" s="31" t="s">
        <v>83</v>
      </c>
      <c r="F105" s="33">
        <v>232693</v>
      </c>
      <c r="G105" s="34">
        <v>910.3</v>
      </c>
      <c r="H105" s="35">
        <v>3.8817799048845728E-3</v>
      </c>
    </row>
    <row r="106" spans="1:8" ht="39">
      <c r="A106" s="32">
        <v>100</v>
      </c>
      <c r="B106" s="253" t="s">
        <v>1299</v>
      </c>
      <c r="C106" s="253"/>
      <c r="D106" s="31" t="s">
        <v>1300</v>
      </c>
      <c r="E106" s="31" t="s">
        <v>146</v>
      </c>
      <c r="F106" s="33">
        <v>21432</v>
      </c>
      <c r="G106" s="34">
        <v>910.17</v>
      </c>
      <c r="H106" s="35">
        <v>3.8812646056953413E-3</v>
      </c>
    </row>
    <row r="107" spans="1:8" ht="26">
      <c r="A107" s="32">
        <v>101</v>
      </c>
      <c r="B107" s="253" t="s">
        <v>1301</v>
      </c>
      <c r="C107" s="253"/>
      <c r="D107" s="31" t="s">
        <v>1302</v>
      </c>
      <c r="E107" s="31" t="s">
        <v>211</v>
      </c>
      <c r="F107" s="33">
        <v>534123</v>
      </c>
      <c r="G107" s="34">
        <v>907.74</v>
      </c>
      <c r="H107" s="35">
        <v>3.8708932180600429E-3</v>
      </c>
    </row>
    <row r="108" spans="1:8" ht="26">
      <c r="A108" s="32">
        <v>102</v>
      </c>
      <c r="B108" s="253" t="s">
        <v>1303</v>
      </c>
      <c r="C108" s="253"/>
      <c r="D108" s="31" t="s">
        <v>1304</v>
      </c>
      <c r="E108" s="31" t="s">
        <v>215</v>
      </c>
      <c r="F108" s="33">
        <v>407247</v>
      </c>
      <c r="G108" s="34">
        <v>903.6</v>
      </c>
      <c r="H108" s="35">
        <v>3.853228763132481E-3</v>
      </c>
    </row>
    <row r="109" spans="1:8" ht="26">
      <c r="A109" s="32">
        <v>103</v>
      </c>
      <c r="B109" s="253" t="s">
        <v>1305</v>
      </c>
      <c r="C109" s="253"/>
      <c r="D109" s="31" t="s">
        <v>1306</v>
      </c>
      <c r="E109" s="31" t="s">
        <v>316</v>
      </c>
      <c r="F109" s="33">
        <v>42953</v>
      </c>
      <c r="G109" s="34">
        <v>891.02</v>
      </c>
      <c r="H109" s="35">
        <v>3.7995726099059454E-3</v>
      </c>
    </row>
    <row r="110" spans="1:8" ht="26">
      <c r="A110" s="32">
        <v>104</v>
      </c>
      <c r="B110" s="253" t="s">
        <v>1307</v>
      </c>
      <c r="C110" s="253"/>
      <c r="D110" s="31" t="s">
        <v>1308</v>
      </c>
      <c r="E110" s="31" t="s">
        <v>316</v>
      </c>
      <c r="F110" s="33">
        <v>186369</v>
      </c>
      <c r="G110" s="34">
        <v>878.82</v>
      </c>
      <c r="H110" s="35">
        <v>3.747573563607299E-3</v>
      </c>
    </row>
    <row r="111" spans="1:8" ht="26">
      <c r="A111" s="32">
        <v>105</v>
      </c>
      <c r="B111" s="253" t="s">
        <v>1309</v>
      </c>
      <c r="C111" s="253"/>
      <c r="D111" s="31" t="s">
        <v>1310</v>
      </c>
      <c r="E111" s="31" t="s">
        <v>802</v>
      </c>
      <c r="F111" s="33">
        <v>83101</v>
      </c>
      <c r="G111" s="34">
        <v>870.82</v>
      </c>
      <c r="H111" s="35">
        <v>3.7134265042121722E-3</v>
      </c>
    </row>
    <row r="112" spans="1:8" ht="26">
      <c r="A112" s="32">
        <v>106</v>
      </c>
      <c r="B112" s="253" t="s">
        <v>1311</v>
      </c>
      <c r="C112" s="253"/>
      <c r="D112" s="31" t="s">
        <v>1312</v>
      </c>
      <c r="E112" s="31" t="s">
        <v>114</v>
      </c>
      <c r="F112" s="33">
        <v>453336</v>
      </c>
      <c r="G112" s="34">
        <v>870.09</v>
      </c>
      <c r="H112" s="35">
        <v>3.7103238171768403E-3</v>
      </c>
    </row>
    <row r="113" spans="1:8" ht="39">
      <c r="A113" s="32">
        <v>107</v>
      </c>
      <c r="B113" s="253" t="s">
        <v>1313</v>
      </c>
      <c r="C113" s="253"/>
      <c r="D113" s="31" t="s">
        <v>1314</v>
      </c>
      <c r="E113" s="31" t="s">
        <v>141</v>
      </c>
      <c r="F113" s="33">
        <v>30848</v>
      </c>
      <c r="G113" s="34">
        <v>867.66</v>
      </c>
      <c r="H113" s="35">
        <v>3.6999782230718783E-3</v>
      </c>
    </row>
    <row r="114" spans="1:8" ht="26">
      <c r="A114" s="32">
        <v>108</v>
      </c>
      <c r="B114" s="253" t="s">
        <v>1315</v>
      </c>
      <c r="C114" s="253"/>
      <c r="D114" s="31" t="s">
        <v>1316</v>
      </c>
      <c r="E114" s="31" t="s">
        <v>136</v>
      </c>
      <c r="F114" s="33">
        <v>145502</v>
      </c>
      <c r="G114" s="34">
        <v>863.7</v>
      </c>
      <c r="H114" s="35">
        <v>3.6830837783923204E-3</v>
      </c>
    </row>
    <row r="115" spans="1:8" ht="26">
      <c r="A115" s="32">
        <v>109</v>
      </c>
      <c r="B115" s="253" t="s">
        <v>1317</v>
      </c>
      <c r="C115" s="253"/>
      <c r="D115" s="31" t="s">
        <v>1318</v>
      </c>
      <c r="E115" s="31" t="s">
        <v>768</v>
      </c>
      <c r="F115" s="33">
        <v>675523</v>
      </c>
      <c r="G115" s="34">
        <v>862.91</v>
      </c>
      <c r="H115" s="35">
        <v>3.6797286544546014E-3</v>
      </c>
    </row>
    <row r="116" spans="1:8" ht="39">
      <c r="A116" s="32">
        <v>110</v>
      </c>
      <c r="B116" s="253" t="s">
        <v>1319</v>
      </c>
      <c r="C116" s="253"/>
      <c r="D116" s="31" t="s">
        <v>1320</v>
      </c>
      <c r="E116" s="31" t="s">
        <v>366</v>
      </c>
      <c r="F116" s="33">
        <v>250212</v>
      </c>
      <c r="G116" s="34">
        <v>856.6</v>
      </c>
      <c r="H116" s="35">
        <v>3.6528110597455043E-3</v>
      </c>
    </row>
    <row r="117" spans="1:8" ht="26">
      <c r="A117" s="32">
        <v>111</v>
      </c>
      <c r="B117" s="253" t="s">
        <v>1321</v>
      </c>
      <c r="C117" s="253"/>
      <c r="D117" s="31" t="s">
        <v>1322</v>
      </c>
      <c r="E117" s="31" t="s">
        <v>374</v>
      </c>
      <c r="F117" s="33">
        <v>234020</v>
      </c>
      <c r="G117" s="34">
        <v>856.16</v>
      </c>
      <c r="H117" s="35">
        <v>3.6509406823209164E-3</v>
      </c>
    </row>
    <row r="118" spans="1:8" ht="26">
      <c r="A118" s="32">
        <v>112</v>
      </c>
      <c r="B118" s="253" t="s">
        <v>1323</v>
      </c>
      <c r="C118" s="253"/>
      <c r="D118" s="31" t="s">
        <v>1324</v>
      </c>
      <c r="E118" s="31" t="s">
        <v>114</v>
      </c>
      <c r="F118" s="33">
        <v>28381</v>
      </c>
      <c r="G118" s="34">
        <v>855.01</v>
      </c>
      <c r="H118" s="35">
        <v>3.6460104409122883E-3</v>
      </c>
    </row>
    <row r="119" spans="1:8" ht="26">
      <c r="A119" s="32">
        <v>113</v>
      </c>
      <c r="B119" s="253" t="s">
        <v>1325</v>
      </c>
      <c r="C119" s="253"/>
      <c r="D119" s="31" t="s">
        <v>1326</v>
      </c>
      <c r="E119" s="31" t="s">
        <v>114</v>
      </c>
      <c r="F119" s="33">
        <v>25531</v>
      </c>
      <c r="G119" s="34">
        <v>853.55</v>
      </c>
      <c r="H119" s="35">
        <v>3.639811780570882E-3</v>
      </c>
    </row>
    <row r="120" spans="1:8" ht="26">
      <c r="A120" s="32">
        <v>114</v>
      </c>
      <c r="B120" s="253" t="s">
        <v>1327</v>
      </c>
      <c r="C120" s="253"/>
      <c r="D120" s="31" t="s">
        <v>1328</v>
      </c>
      <c r="E120" s="31" t="s">
        <v>83</v>
      </c>
      <c r="F120" s="33">
        <v>226488</v>
      </c>
      <c r="G120" s="34">
        <v>849.78</v>
      </c>
      <c r="H120" s="35">
        <v>3.6237378232001757E-3</v>
      </c>
    </row>
    <row r="121" spans="1:8" ht="26">
      <c r="A121" s="32">
        <v>115</v>
      </c>
      <c r="B121" s="253" t="s">
        <v>1329</v>
      </c>
      <c r="C121" s="253"/>
      <c r="D121" s="31" t="s">
        <v>1330</v>
      </c>
      <c r="E121" s="31" t="s">
        <v>266</v>
      </c>
      <c r="F121" s="33">
        <v>202124</v>
      </c>
      <c r="G121" s="34">
        <v>848.92</v>
      </c>
      <c r="H121" s="35">
        <v>3.6200612376839987E-3</v>
      </c>
    </row>
    <row r="122" spans="1:8" ht="26">
      <c r="A122" s="32">
        <v>116</v>
      </c>
      <c r="B122" s="253" t="s">
        <v>1331</v>
      </c>
      <c r="C122" s="253"/>
      <c r="D122" s="31" t="s">
        <v>1332</v>
      </c>
      <c r="E122" s="31" t="s">
        <v>136</v>
      </c>
      <c r="F122" s="33">
        <v>39026</v>
      </c>
      <c r="G122" s="34">
        <v>846.98</v>
      </c>
      <c r="H122" s="35">
        <v>3.6117905151244441E-3</v>
      </c>
    </row>
    <row r="123" spans="1:8" ht="26">
      <c r="A123" s="32">
        <v>117</v>
      </c>
      <c r="B123" s="253" t="s">
        <v>1333</v>
      </c>
      <c r="C123" s="253"/>
      <c r="D123" s="31" t="s">
        <v>1334</v>
      </c>
      <c r="E123" s="31" t="s">
        <v>345</v>
      </c>
      <c r="F123" s="33">
        <v>174064</v>
      </c>
      <c r="G123" s="34">
        <v>846.21</v>
      </c>
      <c r="H123" s="35">
        <v>3.6085106554008105E-3</v>
      </c>
    </row>
    <row r="124" spans="1:8" ht="26">
      <c r="A124" s="32">
        <v>118</v>
      </c>
      <c r="B124" s="253" t="s">
        <v>1335</v>
      </c>
      <c r="C124" s="253"/>
      <c r="D124" s="31" t="s">
        <v>1336</v>
      </c>
      <c r="E124" s="31" t="s">
        <v>802</v>
      </c>
      <c r="F124" s="33">
        <v>54313</v>
      </c>
      <c r="G124" s="34">
        <v>845.92</v>
      </c>
      <c r="H124" s="35">
        <v>3.6072861119509684E-3</v>
      </c>
    </row>
    <row r="125" spans="1:8" ht="26">
      <c r="A125" s="32">
        <v>119</v>
      </c>
      <c r="B125" s="253" t="s">
        <v>1337</v>
      </c>
      <c r="C125" s="253"/>
      <c r="D125" s="31" t="s">
        <v>1338</v>
      </c>
      <c r="E125" s="31" t="s">
        <v>117</v>
      </c>
      <c r="F125" s="33">
        <v>98345</v>
      </c>
      <c r="G125" s="34">
        <v>844.05</v>
      </c>
      <c r="H125" s="35">
        <v>3.5992734206417515E-3</v>
      </c>
    </row>
    <row r="126" spans="1:8" ht="26">
      <c r="A126" s="32">
        <v>120</v>
      </c>
      <c r="B126" s="253" t="s">
        <v>1339</v>
      </c>
      <c r="C126" s="253"/>
      <c r="D126" s="31" t="s">
        <v>1340</v>
      </c>
      <c r="E126" s="31" t="s">
        <v>316</v>
      </c>
      <c r="F126" s="33">
        <v>97501</v>
      </c>
      <c r="G126" s="34">
        <v>842.36</v>
      </c>
      <c r="H126" s="35">
        <v>3.592083483122014E-3</v>
      </c>
    </row>
    <row r="127" spans="1:8" ht="26">
      <c r="A127" s="32">
        <v>121</v>
      </c>
      <c r="B127" s="253" t="s">
        <v>1341</v>
      </c>
      <c r="C127" s="253"/>
      <c r="D127" s="31" t="s">
        <v>1342</v>
      </c>
      <c r="E127" s="31" t="s">
        <v>68</v>
      </c>
      <c r="F127" s="33">
        <v>115465</v>
      </c>
      <c r="G127" s="34">
        <v>822.98</v>
      </c>
      <c r="H127" s="35">
        <v>3.5094279324319197E-3</v>
      </c>
    </row>
    <row r="128" spans="1:8" ht="39">
      <c r="A128" s="32">
        <v>122</v>
      </c>
      <c r="B128" s="253" t="s">
        <v>1343</v>
      </c>
      <c r="C128" s="253"/>
      <c r="D128" s="31" t="s">
        <v>1344</v>
      </c>
      <c r="E128" s="31" t="s">
        <v>775</v>
      </c>
      <c r="F128" s="33">
        <v>250598</v>
      </c>
      <c r="G128" s="34">
        <v>819.33</v>
      </c>
      <c r="H128" s="35">
        <v>3.4938775875222872E-3</v>
      </c>
    </row>
    <row r="129" spans="1:8" ht="26">
      <c r="A129" s="32">
        <v>123</v>
      </c>
      <c r="B129" s="253" t="s">
        <v>1345</v>
      </c>
      <c r="C129" s="253"/>
      <c r="D129" s="31" t="s">
        <v>849</v>
      </c>
      <c r="E129" s="31" t="s">
        <v>850</v>
      </c>
      <c r="F129" s="33">
        <v>149360</v>
      </c>
      <c r="G129" s="34">
        <v>812.29</v>
      </c>
      <c r="H129" s="35">
        <v>3.4638747527747367E-3</v>
      </c>
    </row>
    <row r="130" spans="1:8" ht="26">
      <c r="A130" s="32">
        <v>124</v>
      </c>
      <c r="B130" s="253" t="s">
        <v>1346</v>
      </c>
      <c r="C130" s="253"/>
      <c r="D130" s="31" t="s">
        <v>1347</v>
      </c>
      <c r="E130" s="31" t="s">
        <v>850</v>
      </c>
      <c r="F130" s="33">
        <v>2124532</v>
      </c>
      <c r="G130" s="34">
        <v>809.87</v>
      </c>
      <c r="H130" s="35">
        <v>3.4535433468811491E-3</v>
      </c>
    </row>
    <row r="131" spans="1:8" ht="26">
      <c r="A131" s="32">
        <v>125</v>
      </c>
      <c r="B131" s="253" t="s">
        <v>1348</v>
      </c>
      <c r="C131" s="253"/>
      <c r="D131" s="31" t="s">
        <v>1349</v>
      </c>
      <c r="E131" s="31" t="s">
        <v>117</v>
      </c>
      <c r="F131" s="33">
        <v>994825</v>
      </c>
      <c r="G131" s="34">
        <v>809.79</v>
      </c>
      <c r="H131" s="35">
        <v>3.4531849384702236E-3</v>
      </c>
    </row>
    <row r="132" spans="1:8" ht="26">
      <c r="A132" s="32">
        <v>126</v>
      </c>
      <c r="B132" s="253" t="s">
        <v>1350</v>
      </c>
      <c r="C132" s="253"/>
      <c r="D132" s="31" t="s">
        <v>1351</v>
      </c>
      <c r="E132" s="31" t="s">
        <v>316</v>
      </c>
      <c r="F132" s="33">
        <v>367121</v>
      </c>
      <c r="G132" s="34">
        <v>801.06</v>
      </c>
      <c r="H132" s="35">
        <v>3.41595952717617E-3</v>
      </c>
    </row>
    <row r="133" spans="1:8" ht="26">
      <c r="A133" s="32">
        <v>127</v>
      </c>
      <c r="B133" s="253" t="s">
        <v>1352</v>
      </c>
      <c r="C133" s="253"/>
      <c r="D133" s="31" t="s">
        <v>1353</v>
      </c>
      <c r="E133" s="31" t="s">
        <v>136</v>
      </c>
      <c r="F133" s="33">
        <v>632181</v>
      </c>
      <c r="G133" s="34">
        <v>786.18</v>
      </c>
      <c r="H133" s="35">
        <v>3.3525162764915916E-3</v>
      </c>
    </row>
    <row r="134" spans="1:8" ht="26">
      <c r="A134" s="32">
        <v>128</v>
      </c>
      <c r="B134" s="253" t="s">
        <v>1354</v>
      </c>
      <c r="C134" s="253"/>
      <c r="D134" s="31" t="s">
        <v>1355</v>
      </c>
      <c r="E134" s="31" t="s">
        <v>768</v>
      </c>
      <c r="F134" s="33">
        <v>1754555</v>
      </c>
      <c r="G134" s="34">
        <v>782.53</v>
      </c>
      <c r="H134" s="35">
        <v>3.3369568268542286E-3</v>
      </c>
    </row>
    <row r="135" spans="1:8" ht="39">
      <c r="A135" s="32">
        <v>129</v>
      </c>
      <c r="B135" s="253" t="s">
        <v>288</v>
      </c>
      <c r="C135" s="253"/>
      <c r="D135" s="31" t="s">
        <v>289</v>
      </c>
      <c r="E135" s="31" t="s">
        <v>39</v>
      </c>
      <c r="F135" s="33">
        <v>68228</v>
      </c>
      <c r="G135" s="34">
        <v>777.53</v>
      </c>
      <c r="H135" s="35">
        <v>3.3156129246322218E-3</v>
      </c>
    </row>
    <row r="136" spans="1:8" ht="26">
      <c r="A136" s="32">
        <v>130</v>
      </c>
      <c r="B136" s="253" t="s">
        <v>1356</v>
      </c>
      <c r="C136" s="253"/>
      <c r="D136" s="31" t="s">
        <v>1357</v>
      </c>
      <c r="E136" s="31" t="s">
        <v>316</v>
      </c>
      <c r="F136" s="33">
        <v>79861</v>
      </c>
      <c r="G136" s="34">
        <v>770.14</v>
      </c>
      <c r="H136" s="35">
        <v>3.2841136007418035E-3</v>
      </c>
    </row>
    <row r="137" spans="1:8" ht="39">
      <c r="A137" s="32">
        <v>131</v>
      </c>
      <c r="B137" s="253" t="s">
        <v>1358</v>
      </c>
      <c r="C137" s="253"/>
      <c r="D137" s="31" t="s">
        <v>1359</v>
      </c>
      <c r="E137" s="31" t="s">
        <v>735</v>
      </c>
      <c r="F137" s="33">
        <v>74062</v>
      </c>
      <c r="G137" s="34">
        <v>767.17</v>
      </c>
      <c r="H137" s="35">
        <v>3.2714557371302153E-3</v>
      </c>
    </row>
    <row r="138" spans="1:8" ht="39">
      <c r="A138" s="32">
        <v>132</v>
      </c>
      <c r="B138" s="253" t="s">
        <v>1360</v>
      </c>
      <c r="C138" s="253"/>
      <c r="D138" s="31" t="s">
        <v>1361</v>
      </c>
      <c r="E138" s="31" t="s">
        <v>735</v>
      </c>
      <c r="F138" s="33">
        <v>279122</v>
      </c>
      <c r="G138" s="34">
        <v>766.75</v>
      </c>
      <c r="H138" s="35">
        <v>3.2696515375285145E-3</v>
      </c>
    </row>
    <row r="139" spans="1:8" ht="26">
      <c r="A139" s="32">
        <v>133</v>
      </c>
      <c r="B139" s="253" t="s">
        <v>1362</v>
      </c>
      <c r="C139" s="253"/>
      <c r="D139" s="31" t="s">
        <v>1363</v>
      </c>
      <c r="E139" s="31" t="s">
        <v>316</v>
      </c>
      <c r="F139" s="33">
        <v>413208</v>
      </c>
      <c r="G139" s="34">
        <v>764.43</v>
      </c>
      <c r="H139" s="35">
        <v>3.259786764815658E-3</v>
      </c>
    </row>
    <row r="140" spans="1:8" ht="26">
      <c r="A140" s="32">
        <v>134</v>
      </c>
      <c r="B140" s="253" t="s">
        <v>1364</v>
      </c>
      <c r="C140" s="253"/>
      <c r="D140" s="31" t="s">
        <v>1365</v>
      </c>
      <c r="E140" s="31" t="s">
        <v>114</v>
      </c>
      <c r="F140" s="33">
        <v>1071228</v>
      </c>
      <c r="G140" s="34">
        <v>761.86</v>
      </c>
      <c r="H140" s="35">
        <v>3.2487957350224804E-3</v>
      </c>
    </row>
    <row r="141" spans="1:8" ht="26">
      <c r="A141" s="32">
        <v>135</v>
      </c>
      <c r="B141" s="253" t="s">
        <v>1366</v>
      </c>
      <c r="C141" s="253"/>
      <c r="D141" s="31" t="s">
        <v>1367</v>
      </c>
      <c r="E141" s="31" t="s">
        <v>114</v>
      </c>
      <c r="F141" s="33">
        <v>153680</v>
      </c>
      <c r="G141" s="34">
        <v>759.1</v>
      </c>
      <c r="H141" s="35">
        <v>3.2370475889746658E-3</v>
      </c>
    </row>
    <row r="142" spans="1:8" ht="26">
      <c r="A142" s="32">
        <v>136</v>
      </c>
      <c r="B142" s="253" t="s">
        <v>1368</v>
      </c>
      <c r="C142" s="253"/>
      <c r="D142" s="31" t="s">
        <v>1369</v>
      </c>
      <c r="E142" s="31" t="s">
        <v>117</v>
      </c>
      <c r="F142" s="33">
        <v>83438</v>
      </c>
      <c r="G142" s="34">
        <v>755.45</v>
      </c>
      <c r="H142" s="35">
        <v>3.2214627820458526E-3</v>
      </c>
    </row>
    <row r="143" spans="1:8">
      <c r="A143" s="32">
        <v>137</v>
      </c>
      <c r="B143" s="253" t="s">
        <v>1370</v>
      </c>
      <c r="C143" s="253"/>
      <c r="D143" s="31" t="s">
        <v>1371</v>
      </c>
      <c r="E143" s="31" t="s">
        <v>316</v>
      </c>
      <c r="F143" s="33">
        <v>131586</v>
      </c>
      <c r="G143" s="34">
        <v>752.08</v>
      </c>
      <c r="H143" s="35">
        <v>3.2071011454591443E-3</v>
      </c>
    </row>
    <row r="144" spans="1:8" ht="26">
      <c r="A144" s="32">
        <v>138</v>
      </c>
      <c r="B144" s="253" t="s">
        <v>1372</v>
      </c>
      <c r="C144" s="253"/>
      <c r="D144" s="31" t="s">
        <v>1373</v>
      </c>
      <c r="E144" s="31" t="s">
        <v>83</v>
      </c>
      <c r="F144" s="33">
        <v>71627</v>
      </c>
      <c r="G144" s="34">
        <v>748.07</v>
      </c>
      <c r="H144" s="35">
        <v>3.1900123719203308E-3</v>
      </c>
    </row>
    <row r="145" spans="1:8" ht="26">
      <c r="A145" s="32">
        <v>139</v>
      </c>
      <c r="B145" s="253" t="s">
        <v>1374</v>
      </c>
      <c r="C145" s="253"/>
      <c r="D145" s="31" t="s">
        <v>1375</v>
      </c>
      <c r="E145" s="31" t="s">
        <v>211</v>
      </c>
      <c r="F145" s="33">
        <v>8725675</v>
      </c>
      <c r="G145" s="34">
        <v>742.55</v>
      </c>
      <c r="H145" s="35">
        <v>3.1664842753233524E-3</v>
      </c>
    </row>
    <row r="146" spans="1:8" ht="26">
      <c r="A146" s="32">
        <v>140</v>
      </c>
      <c r="B146" s="253" t="s">
        <v>1376</v>
      </c>
      <c r="C146" s="253"/>
      <c r="D146" s="31" t="s">
        <v>1377</v>
      </c>
      <c r="E146" s="31" t="s">
        <v>136</v>
      </c>
      <c r="F146" s="33">
        <v>124508</v>
      </c>
      <c r="G146" s="34">
        <v>718.29</v>
      </c>
      <c r="H146" s="35">
        <v>3.0629967677208709E-3</v>
      </c>
    </row>
    <row r="147" spans="1:8" ht="26">
      <c r="A147" s="32">
        <v>141</v>
      </c>
      <c r="B147" s="253" t="s">
        <v>1378</v>
      </c>
      <c r="C147" s="253"/>
      <c r="D147" s="31" t="s">
        <v>1379</v>
      </c>
      <c r="E147" s="31" t="s">
        <v>266</v>
      </c>
      <c r="F147" s="33">
        <v>120495</v>
      </c>
      <c r="G147" s="34">
        <v>707.55</v>
      </c>
      <c r="H147" s="35">
        <v>3.0171980299193457E-3</v>
      </c>
    </row>
    <row r="148" spans="1:8" ht="26">
      <c r="A148" s="32">
        <v>142</v>
      </c>
      <c r="B148" s="253" t="s">
        <v>1380</v>
      </c>
      <c r="C148" s="253"/>
      <c r="D148" s="31" t="s">
        <v>828</v>
      </c>
      <c r="E148" s="31" t="s">
        <v>83</v>
      </c>
      <c r="F148" s="33">
        <v>140650</v>
      </c>
      <c r="G148" s="34">
        <v>701.63</v>
      </c>
      <c r="H148" s="35">
        <v>2.9919784117091361E-3</v>
      </c>
    </row>
    <row r="149" spans="1:8">
      <c r="A149" s="32">
        <v>143</v>
      </c>
      <c r="B149" s="253" t="s">
        <v>1381</v>
      </c>
      <c r="C149" s="253"/>
      <c r="D149" s="31" t="s">
        <v>843</v>
      </c>
      <c r="E149" s="31" t="s">
        <v>316</v>
      </c>
      <c r="F149" s="33">
        <v>469285</v>
      </c>
      <c r="G149" s="34">
        <v>695.15</v>
      </c>
      <c r="H149" s="35">
        <v>2.9643428935898107E-3</v>
      </c>
    </row>
    <row r="150" spans="1:8" ht="26">
      <c r="A150" s="32">
        <v>144</v>
      </c>
      <c r="B150" s="253" t="s">
        <v>1382</v>
      </c>
      <c r="C150" s="253"/>
      <c r="D150" s="31" t="s">
        <v>1383</v>
      </c>
      <c r="E150" s="31" t="s">
        <v>117</v>
      </c>
      <c r="F150" s="33">
        <v>24283</v>
      </c>
      <c r="G150" s="34">
        <v>682.3</v>
      </c>
      <c r="H150" s="35">
        <v>2.9095544599454437E-3</v>
      </c>
    </row>
    <row r="151" spans="1:8" ht="26">
      <c r="A151" s="32">
        <v>145</v>
      </c>
      <c r="B151" s="253" t="s">
        <v>1384</v>
      </c>
      <c r="C151" s="253"/>
      <c r="D151" s="31" t="s">
        <v>1385</v>
      </c>
      <c r="E151" s="31" t="s">
        <v>768</v>
      </c>
      <c r="F151" s="33">
        <v>38509</v>
      </c>
      <c r="G151" s="34">
        <v>682.07</v>
      </c>
      <c r="H151" s="35">
        <v>2.908563749920308E-3</v>
      </c>
    </row>
    <row r="152" spans="1:8" ht="26">
      <c r="A152" s="32">
        <v>146</v>
      </c>
      <c r="B152" s="253" t="s">
        <v>1386</v>
      </c>
      <c r="C152" s="253"/>
      <c r="D152" s="31" t="s">
        <v>1387</v>
      </c>
      <c r="E152" s="31" t="s">
        <v>83</v>
      </c>
      <c r="F152" s="33">
        <v>223129</v>
      </c>
      <c r="G152" s="34">
        <v>677.75</v>
      </c>
      <c r="H152" s="35">
        <v>2.8901544241299645E-3</v>
      </c>
    </row>
    <row r="153" spans="1:8" ht="26">
      <c r="A153" s="32">
        <v>147</v>
      </c>
      <c r="B153" s="253" t="s">
        <v>1388</v>
      </c>
      <c r="C153" s="253"/>
      <c r="D153" s="31" t="s">
        <v>1389</v>
      </c>
      <c r="E153" s="31" t="s">
        <v>316</v>
      </c>
      <c r="F153" s="33">
        <v>88256</v>
      </c>
      <c r="G153" s="34">
        <v>666.91</v>
      </c>
      <c r="H153" s="35">
        <v>2.8438957314831951E-3</v>
      </c>
    </row>
    <row r="154" spans="1:8" ht="26">
      <c r="A154" s="32">
        <v>148</v>
      </c>
      <c r="B154" s="253" t="s">
        <v>1390</v>
      </c>
      <c r="C154" s="253"/>
      <c r="D154" s="31" t="s">
        <v>1391</v>
      </c>
      <c r="E154" s="31" t="s">
        <v>127</v>
      </c>
      <c r="F154" s="33">
        <v>171004</v>
      </c>
      <c r="G154" s="34">
        <v>658.71</v>
      </c>
      <c r="H154" s="35">
        <v>2.8089324171066358E-3</v>
      </c>
    </row>
    <row r="155" spans="1:8" ht="26">
      <c r="A155" s="32">
        <v>149</v>
      </c>
      <c r="B155" s="253" t="s">
        <v>1392</v>
      </c>
      <c r="C155" s="253"/>
      <c r="D155" s="31" t="s">
        <v>1393</v>
      </c>
      <c r="E155" s="31" t="s">
        <v>36</v>
      </c>
      <c r="F155" s="33">
        <v>40364</v>
      </c>
      <c r="G155" s="34">
        <v>652.92999999999995</v>
      </c>
      <c r="H155" s="35">
        <v>2.7842875041846744E-3</v>
      </c>
    </row>
    <row r="156" spans="1:8" ht="26">
      <c r="A156" s="32">
        <v>150</v>
      </c>
      <c r="B156" s="253" t="s">
        <v>1394</v>
      </c>
      <c r="C156" s="253"/>
      <c r="D156" s="31" t="s">
        <v>1395</v>
      </c>
      <c r="E156" s="31" t="s">
        <v>408</v>
      </c>
      <c r="F156" s="33">
        <v>532347</v>
      </c>
      <c r="G156" s="34">
        <v>652.5</v>
      </c>
      <c r="H156" s="35">
        <v>2.7824523751179835E-3</v>
      </c>
    </row>
    <row r="157" spans="1:8" ht="26">
      <c r="A157" s="32">
        <v>151</v>
      </c>
      <c r="B157" s="253" t="s">
        <v>1396</v>
      </c>
      <c r="C157" s="253"/>
      <c r="D157" s="31" t="s">
        <v>1397</v>
      </c>
      <c r="E157" s="31" t="s">
        <v>316</v>
      </c>
      <c r="F157" s="33">
        <v>142295</v>
      </c>
      <c r="G157" s="34">
        <v>652.07000000000005</v>
      </c>
      <c r="H157" s="35">
        <v>2.7806149676305974E-3</v>
      </c>
    </row>
    <row r="158" spans="1:8" ht="39">
      <c r="A158" s="32">
        <v>152</v>
      </c>
      <c r="B158" s="253" t="s">
        <v>1398</v>
      </c>
      <c r="C158" s="253"/>
      <c r="D158" s="31" t="s">
        <v>1399</v>
      </c>
      <c r="E158" s="31" t="s">
        <v>366</v>
      </c>
      <c r="F158" s="33">
        <v>2590980</v>
      </c>
      <c r="G158" s="34">
        <v>650.6</v>
      </c>
      <c r="H158" s="35">
        <v>2.7743389292567665E-3</v>
      </c>
    </row>
    <row r="159" spans="1:8" ht="26">
      <c r="A159" s="32">
        <v>153</v>
      </c>
      <c r="B159" s="253" t="s">
        <v>1400</v>
      </c>
      <c r="C159" s="253"/>
      <c r="D159" s="31" t="s">
        <v>1071</v>
      </c>
      <c r="E159" s="31" t="s">
        <v>273</v>
      </c>
      <c r="F159" s="33">
        <v>1101967</v>
      </c>
      <c r="G159" s="34">
        <v>645.75</v>
      </c>
      <c r="H159" s="35">
        <v>2.7536893675328216E-3</v>
      </c>
    </row>
    <row r="160" spans="1:8" ht="26">
      <c r="A160" s="32">
        <v>154</v>
      </c>
      <c r="B160" s="253" t="s">
        <v>1401</v>
      </c>
      <c r="C160" s="253"/>
      <c r="D160" s="31" t="s">
        <v>1402</v>
      </c>
      <c r="E160" s="31" t="s">
        <v>36</v>
      </c>
      <c r="F160" s="33">
        <v>227064</v>
      </c>
      <c r="G160" s="34">
        <v>643.5</v>
      </c>
      <c r="H160" s="35">
        <v>2.7440806580913565E-3</v>
      </c>
    </row>
    <row r="161" spans="1:8" ht="26">
      <c r="A161" s="32">
        <v>155</v>
      </c>
      <c r="B161" s="253" t="s">
        <v>1403</v>
      </c>
      <c r="C161" s="253"/>
      <c r="D161" s="31" t="s">
        <v>1404</v>
      </c>
      <c r="E161" s="31" t="s">
        <v>345</v>
      </c>
      <c r="F161" s="33">
        <v>72889</v>
      </c>
      <c r="G161" s="34">
        <v>640.54999999999995</v>
      </c>
      <c r="H161" s="35">
        <v>2.7314973452748342E-3</v>
      </c>
    </row>
    <row r="162" spans="1:8" ht="26">
      <c r="A162" s="32">
        <v>156</v>
      </c>
      <c r="B162" s="253" t="s">
        <v>1405</v>
      </c>
      <c r="C162" s="253"/>
      <c r="D162" s="31" t="s">
        <v>1406</v>
      </c>
      <c r="E162" s="31" t="s">
        <v>114</v>
      </c>
      <c r="F162" s="33">
        <v>259289</v>
      </c>
      <c r="G162" s="34">
        <v>640.04999999999995</v>
      </c>
      <c r="H162" s="35">
        <v>2.7293923306031535E-3</v>
      </c>
    </row>
    <row r="163" spans="1:8" ht="39">
      <c r="A163" s="32">
        <v>157</v>
      </c>
      <c r="B163" s="253" t="s">
        <v>1407</v>
      </c>
      <c r="C163" s="253"/>
      <c r="D163" s="31" t="s">
        <v>1408</v>
      </c>
      <c r="E163" s="31" t="s">
        <v>366</v>
      </c>
      <c r="F163" s="33">
        <v>448000</v>
      </c>
      <c r="G163" s="34">
        <v>631.72</v>
      </c>
      <c r="H163" s="35">
        <v>2.693870218945839E-3</v>
      </c>
    </row>
    <row r="164" spans="1:8" ht="26">
      <c r="A164" s="32">
        <v>158</v>
      </c>
      <c r="B164" s="253" t="s">
        <v>1409</v>
      </c>
      <c r="C164" s="253"/>
      <c r="D164" s="31" t="s">
        <v>1410</v>
      </c>
      <c r="E164" s="31" t="s">
        <v>83</v>
      </c>
      <c r="F164" s="33">
        <v>121617</v>
      </c>
      <c r="G164" s="34">
        <v>631.30999999999995</v>
      </c>
      <c r="H164" s="35">
        <v>2.6921177880644066E-3</v>
      </c>
    </row>
    <row r="165" spans="1:8" ht="26">
      <c r="A165" s="32">
        <v>159</v>
      </c>
      <c r="B165" s="253" t="s">
        <v>1411</v>
      </c>
      <c r="C165" s="253"/>
      <c r="D165" s="31" t="s">
        <v>1412</v>
      </c>
      <c r="E165" s="31" t="s">
        <v>127</v>
      </c>
      <c r="F165" s="33">
        <v>157322</v>
      </c>
      <c r="G165" s="34">
        <v>629.45000000000005</v>
      </c>
      <c r="H165" s="35">
        <v>2.6841498187036095E-3</v>
      </c>
    </row>
    <row r="166" spans="1:8" ht="39">
      <c r="A166" s="32">
        <v>160</v>
      </c>
      <c r="B166" s="253" t="s">
        <v>1413</v>
      </c>
      <c r="C166" s="253"/>
      <c r="D166" s="31" t="s">
        <v>1414</v>
      </c>
      <c r="E166" s="31" t="s">
        <v>1415</v>
      </c>
      <c r="F166" s="33">
        <v>1081944</v>
      </c>
      <c r="G166" s="34">
        <v>629.15</v>
      </c>
      <c r="H166" s="35">
        <v>2.6828923334610102E-3</v>
      </c>
    </row>
    <row r="167" spans="1:8" ht="26">
      <c r="A167" s="32">
        <v>161</v>
      </c>
      <c r="B167" s="253" t="s">
        <v>1416</v>
      </c>
      <c r="C167" s="253"/>
      <c r="D167" s="31" t="s">
        <v>1417</v>
      </c>
      <c r="E167" s="31" t="s">
        <v>168</v>
      </c>
      <c r="F167" s="33">
        <v>174916</v>
      </c>
      <c r="G167" s="34">
        <v>629.09</v>
      </c>
      <c r="H167" s="35">
        <v>2.6826149742267664E-3</v>
      </c>
    </row>
    <row r="168" spans="1:8" ht="26">
      <c r="A168" s="32">
        <v>162</v>
      </c>
      <c r="B168" s="253" t="s">
        <v>1418</v>
      </c>
      <c r="C168" s="253"/>
      <c r="D168" s="31" t="s">
        <v>1419</v>
      </c>
      <c r="E168" s="31" t="s">
        <v>117</v>
      </c>
      <c r="F168" s="33">
        <v>126025</v>
      </c>
      <c r="G168" s="34">
        <v>627.29</v>
      </c>
      <c r="H168" s="35">
        <v>2.6749564594274865E-3</v>
      </c>
    </row>
    <row r="169" spans="1:8" ht="26">
      <c r="A169" s="32">
        <v>163</v>
      </c>
      <c r="B169" s="253" t="s">
        <v>1420</v>
      </c>
      <c r="C169" s="253"/>
      <c r="D169" s="31" t="s">
        <v>1421</v>
      </c>
      <c r="E169" s="31" t="s">
        <v>316</v>
      </c>
      <c r="F169" s="33">
        <v>416401</v>
      </c>
      <c r="G169" s="34">
        <v>620.30999999999995</v>
      </c>
      <c r="H169" s="35">
        <v>2.6452049340988273E-3</v>
      </c>
    </row>
    <row r="170" spans="1:8" ht="26">
      <c r="A170" s="32">
        <v>164</v>
      </c>
      <c r="B170" s="253" t="s">
        <v>1422</v>
      </c>
      <c r="C170" s="253"/>
      <c r="D170" s="31" t="s">
        <v>1423</v>
      </c>
      <c r="E170" s="31" t="s">
        <v>114</v>
      </c>
      <c r="F170" s="33">
        <v>146528</v>
      </c>
      <c r="G170" s="34">
        <v>618.49</v>
      </c>
      <c r="H170" s="35">
        <v>2.6374529234555904E-3</v>
      </c>
    </row>
    <row r="171" spans="1:8" ht="39">
      <c r="A171" s="32">
        <v>165</v>
      </c>
      <c r="B171" s="253" t="s">
        <v>1424</v>
      </c>
      <c r="C171" s="253"/>
      <c r="D171" s="31" t="s">
        <v>1425</v>
      </c>
      <c r="E171" s="31" t="s">
        <v>366</v>
      </c>
      <c r="F171" s="33">
        <v>65220</v>
      </c>
      <c r="G171" s="34">
        <v>612.09</v>
      </c>
      <c r="H171" s="35">
        <v>2.6101400707293633E-3</v>
      </c>
    </row>
    <row r="172" spans="1:8" ht="26">
      <c r="A172" s="32">
        <v>166</v>
      </c>
      <c r="B172" s="253" t="s">
        <v>1426</v>
      </c>
      <c r="C172" s="253"/>
      <c r="D172" s="31" t="s">
        <v>1427</v>
      </c>
      <c r="E172" s="31" t="s">
        <v>802</v>
      </c>
      <c r="F172" s="33">
        <v>257732</v>
      </c>
      <c r="G172" s="34">
        <v>607.6</v>
      </c>
      <c r="H172" s="35">
        <v>2.5910082024284786E-3</v>
      </c>
    </row>
    <row r="173" spans="1:8" ht="39">
      <c r="A173" s="32">
        <v>167</v>
      </c>
      <c r="B173" s="253" t="s">
        <v>1428</v>
      </c>
      <c r="C173" s="253"/>
      <c r="D173" s="31" t="s">
        <v>1429</v>
      </c>
      <c r="E173" s="31" t="s">
        <v>353</v>
      </c>
      <c r="F173" s="33">
        <v>274858</v>
      </c>
      <c r="G173" s="34">
        <v>604.63</v>
      </c>
      <c r="H173" s="35">
        <v>2.5783408076581861E-3</v>
      </c>
    </row>
    <row r="174" spans="1:8" ht="26">
      <c r="A174" s="32">
        <v>168</v>
      </c>
      <c r="B174" s="253" t="s">
        <v>1430</v>
      </c>
      <c r="C174" s="253"/>
      <c r="D174" s="31" t="s">
        <v>1431</v>
      </c>
      <c r="E174" s="31" t="s">
        <v>136</v>
      </c>
      <c r="F174" s="33">
        <v>135301</v>
      </c>
      <c r="G174" s="34">
        <v>603.37</v>
      </c>
      <c r="H174" s="35">
        <v>2.5729770782691591E-3</v>
      </c>
    </row>
    <row r="175" spans="1:8" ht="39">
      <c r="A175" s="32">
        <v>169</v>
      </c>
      <c r="B175" s="253" t="s">
        <v>1432</v>
      </c>
      <c r="C175" s="253"/>
      <c r="D175" s="31" t="s">
        <v>1433</v>
      </c>
      <c r="E175" s="31" t="s">
        <v>146</v>
      </c>
      <c r="F175" s="33">
        <v>159488</v>
      </c>
      <c r="G175" s="34">
        <v>602.47</v>
      </c>
      <c r="H175" s="35">
        <v>2.5691012919198458E-3</v>
      </c>
    </row>
    <row r="176" spans="1:8" ht="39">
      <c r="A176" s="32">
        <v>170</v>
      </c>
      <c r="B176" s="253" t="s">
        <v>1434</v>
      </c>
      <c r="C176" s="253"/>
      <c r="D176" s="31" t="s">
        <v>1435</v>
      </c>
      <c r="E176" s="31" t="s">
        <v>39</v>
      </c>
      <c r="F176" s="33">
        <v>154724</v>
      </c>
      <c r="G176" s="34">
        <v>600.95000000000005</v>
      </c>
      <c r="H176" s="35">
        <v>2.5626284791051223E-3</v>
      </c>
    </row>
    <row r="177" spans="1:8" ht="26">
      <c r="A177" s="32">
        <v>171</v>
      </c>
      <c r="B177" s="253" t="s">
        <v>1436</v>
      </c>
      <c r="C177" s="253"/>
      <c r="D177" s="31" t="s">
        <v>1437</v>
      </c>
      <c r="E177" s="31" t="s">
        <v>316</v>
      </c>
      <c r="F177" s="33">
        <v>2092114</v>
      </c>
      <c r="G177" s="34">
        <v>596.88</v>
      </c>
      <c r="H177" s="35">
        <v>2.5452817284727044E-3</v>
      </c>
    </row>
    <row r="178" spans="1:8" ht="26">
      <c r="A178" s="32">
        <v>172</v>
      </c>
      <c r="B178" s="253" t="s">
        <v>1438</v>
      </c>
      <c r="C178" s="253"/>
      <c r="D178" s="31" t="s">
        <v>1439</v>
      </c>
      <c r="E178" s="31" t="s">
        <v>68</v>
      </c>
      <c r="F178" s="33">
        <v>158808</v>
      </c>
      <c r="G178" s="34">
        <v>595.92999999999995</v>
      </c>
      <c r="H178" s="35">
        <v>2.5412173969474386E-3</v>
      </c>
    </row>
    <row r="179" spans="1:8" ht="39">
      <c r="A179" s="32">
        <v>173</v>
      </c>
      <c r="B179" s="253" t="s">
        <v>1440</v>
      </c>
      <c r="C179" s="253"/>
      <c r="D179" s="31" t="s">
        <v>1441</v>
      </c>
      <c r="E179" s="31" t="s">
        <v>146</v>
      </c>
      <c r="F179" s="33">
        <v>292117</v>
      </c>
      <c r="G179" s="34">
        <v>594.78</v>
      </c>
      <c r="H179" s="35">
        <v>2.5363236908653875E-3</v>
      </c>
    </row>
    <row r="180" spans="1:8" ht="26">
      <c r="A180" s="32">
        <v>174</v>
      </c>
      <c r="B180" s="253" t="s">
        <v>1442</v>
      </c>
      <c r="C180" s="253"/>
      <c r="D180" s="31" t="s">
        <v>1443</v>
      </c>
      <c r="E180" s="31" t="s">
        <v>114</v>
      </c>
      <c r="F180" s="33">
        <v>1615662</v>
      </c>
      <c r="G180" s="34">
        <v>589.23</v>
      </c>
      <c r="H180" s="35">
        <v>2.5126674654064513E-3</v>
      </c>
    </row>
    <row r="181" spans="1:8" ht="39">
      <c r="A181" s="32">
        <v>175</v>
      </c>
      <c r="B181" s="253" t="s">
        <v>1444</v>
      </c>
      <c r="C181" s="253"/>
      <c r="D181" s="31" t="s">
        <v>1445</v>
      </c>
      <c r="E181" s="31" t="s">
        <v>141</v>
      </c>
      <c r="F181" s="33">
        <v>30617</v>
      </c>
      <c r="G181" s="34">
        <v>588.28</v>
      </c>
      <c r="H181" s="35">
        <v>2.5085869755587112E-3</v>
      </c>
    </row>
    <row r="182" spans="1:8" ht="26">
      <c r="A182" s="32">
        <v>176</v>
      </c>
      <c r="B182" s="253" t="s">
        <v>1446</v>
      </c>
      <c r="C182" s="253"/>
      <c r="D182" s="31" t="s">
        <v>1447</v>
      </c>
      <c r="E182" s="31" t="s">
        <v>83</v>
      </c>
      <c r="F182" s="33">
        <v>189914</v>
      </c>
      <c r="G182" s="34">
        <v>584.27</v>
      </c>
      <c r="H182" s="35">
        <v>2.4915100482723607E-3</v>
      </c>
    </row>
    <row r="183" spans="1:8" ht="26">
      <c r="A183" s="32">
        <v>177</v>
      </c>
      <c r="B183" s="253" t="s">
        <v>1448</v>
      </c>
      <c r="C183" s="253"/>
      <c r="D183" s="31" t="s">
        <v>1449</v>
      </c>
      <c r="E183" s="31" t="s">
        <v>23</v>
      </c>
      <c r="F183" s="33">
        <v>52658</v>
      </c>
      <c r="G183" s="34">
        <v>581.82000000000005</v>
      </c>
      <c r="H183" s="35">
        <v>2.4810531974733666E-3</v>
      </c>
    </row>
    <row r="184" spans="1:8" ht="26">
      <c r="A184" s="32">
        <v>178</v>
      </c>
      <c r="B184" s="253" t="s">
        <v>1450</v>
      </c>
      <c r="C184" s="253"/>
      <c r="D184" s="31" t="s">
        <v>1451</v>
      </c>
      <c r="E184" s="31" t="s">
        <v>312</v>
      </c>
      <c r="F184" s="33">
        <v>849194</v>
      </c>
      <c r="G184" s="34">
        <v>576.01</v>
      </c>
      <c r="H184" s="35">
        <v>2.4562777634116822E-3</v>
      </c>
    </row>
    <row r="185" spans="1:8" ht="26">
      <c r="A185" s="32">
        <v>179</v>
      </c>
      <c r="B185" s="253" t="s">
        <v>1452</v>
      </c>
      <c r="C185" s="253"/>
      <c r="D185" s="31" t="s">
        <v>1453</v>
      </c>
      <c r="E185" s="31" t="s">
        <v>136</v>
      </c>
      <c r="F185" s="33">
        <v>66626</v>
      </c>
      <c r="G185" s="34">
        <v>567.54999999999995</v>
      </c>
      <c r="H185" s="35">
        <v>2.420224264603772E-3</v>
      </c>
    </row>
    <row r="186" spans="1:8" ht="26">
      <c r="A186" s="32">
        <v>180</v>
      </c>
      <c r="B186" s="253" t="s">
        <v>1454</v>
      </c>
      <c r="C186" s="253"/>
      <c r="D186" s="31" t="s">
        <v>1455</v>
      </c>
      <c r="E186" s="31" t="s">
        <v>312</v>
      </c>
      <c r="F186" s="33">
        <v>48589</v>
      </c>
      <c r="G186" s="34">
        <v>566.45000000000005</v>
      </c>
      <c r="H186" s="35">
        <v>2.415520649936386E-3</v>
      </c>
    </row>
    <row r="187" spans="1:8" ht="26">
      <c r="A187" s="32">
        <v>181</v>
      </c>
      <c r="B187" s="253" t="s">
        <v>1456</v>
      </c>
      <c r="C187" s="253"/>
      <c r="D187" s="31" t="s">
        <v>1457</v>
      </c>
      <c r="E187" s="31" t="s">
        <v>83</v>
      </c>
      <c r="F187" s="33">
        <v>135753</v>
      </c>
      <c r="G187" s="34">
        <v>562.76</v>
      </c>
      <c r="H187" s="35">
        <v>2.3998002699400982E-3</v>
      </c>
    </row>
    <row r="188" spans="1:8" ht="39">
      <c r="A188" s="32">
        <v>182</v>
      </c>
      <c r="B188" s="253" t="s">
        <v>1458</v>
      </c>
      <c r="C188" s="253"/>
      <c r="D188" s="31" t="s">
        <v>1459</v>
      </c>
      <c r="E188" s="31" t="s">
        <v>146</v>
      </c>
      <c r="F188" s="33">
        <v>83189</v>
      </c>
      <c r="G188" s="34">
        <v>562.4</v>
      </c>
      <c r="H188" s="35">
        <v>2.3982445346098285E-3</v>
      </c>
    </row>
    <row r="189" spans="1:8" ht="26">
      <c r="A189" s="32">
        <v>183</v>
      </c>
      <c r="B189" s="253" t="s">
        <v>1460</v>
      </c>
      <c r="C189" s="253"/>
      <c r="D189" s="31" t="s">
        <v>1461</v>
      </c>
      <c r="E189" s="31" t="s">
        <v>299</v>
      </c>
      <c r="F189" s="33">
        <v>51089</v>
      </c>
      <c r="G189" s="34">
        <v>556.77</v>
      </c>
      <c r="H189" s="35">
        <v>2.3742308738554504E-3</v>
      </c>
    </row>
    <row r="190" spans="1:8" ht="26">
      <c r="A190" s="32">
        <v>184</v>
      </c>
      <c r="B190" s="253" t="s">
        <v>1462</v>
      </c>
      <c r="C190" s="253"/>
      <c r="D190" s="31" t="s">
        <v>1463</v>
      </c>
      <c r="E190" s="31" t="s">
        <v>114</v>
      </c>
      <c r="F190" s="33">
        <v>105650</v>
      </c>
      <c r="G190" s="34">
        <v>549.54</v>
      </c>
      <c r="H190" s="35">
        <v>2.3434022725835877E-3</v>
      </c>
    </row>
    <row r="191" spans="1:8" ht="26">
      <c r="A191" s="32">
        <v>185</v>
      </c>
      <c r="B191" s="253" t="s">
        <v>1464</v>
      </c>
      <c r="C191" s="253"/>
      <c r="D191" s="31" t="s">
        <v>1465</v>
      </c>
      <c r="E191" s="31" t="s">
        <v>114</v>
      </c>
      <c r="F191" s="33">
        <v>329683</v>
      </c>
      <c r="G191" s="34">
        <v>538.21</v>
      </c>
      <c r="H191" s="35">
        <v>2.2950834748431863E-3</v>
      </c>
    </row>
    <row r="192" spans="1:8" ht="26">
      <c r="A192" s="32">
        <v>186</v>
      </c>
      <c r="B192" s="253" t="s">
        <v>1466</v>
      </c>
      <c r="C192" s="253"/>
      <c r="D192" s="31" t="s">
        <v>1467</v>
      </c>
      <c r="E192" s="31" t="s">
        <v>114</v>
      </c>
      <c r="F192" s="33">
        <v>218286</v>
      </c>
      <c r="G192" s="34">
        <v>534.69000000000005</v>
      </c>
      <c r="H192" s="35">
        <v>2.2800904155165056E-3</v>
      </c>
    </row>
    <row r="193" spans="1:8" ht="26">
      <c r="A193" s="32">
        <v>187</v>
      </c>
      <c r="B193" s="253" t="s">
        <v>1468</v>
      </c>
      <c r="C193" s="253"/>
      <c r="D193" s="31" t="s">
        <v>1469</v>
      </c>
      <c r="E193" s="31" t="s">
        <v>127</v>
      </c>
      <c r="F193" s="33">
        <v>72583</v>
      </c>
      <c r="G193" s="34">
        <v>530.36</v>
      </c>
      <c r="H193" s="35">
        <v>2.2616362910201668E-3</v>
      </c>
    </row>
    <row r="194" spans="1:8" ht="39">
      <c r="A194" s="32">
        <v>188</v>
      </c>
      <c r="B194" s="253" t="s">
        <v>1470</v>
      </c>
      <c r="C194" s="253"/>
      <c r="D194" s="31" t="s">
        <v>1471</v>
      </c>
      <c r="E194" s="31" t="s">
        <v>39</v>
      </c>
      <c r="F194" s="33">
        <v>37403</v>
      </c>
      <c r="G194" s="34">
        <v>517.84</v>
      </c>
      <c r="H194" s="35">
        <v>2.208249495477075E-3</v>
      </c>
    </row>
    <row r="195" spans="1:8" ht="26">
      <c r="A195" s="32">
        <v>189</v>
      </c>
      <c r="B195" s="253" t="s">
        <v>1472</v>
      </c>
      <c r="C195" s="253"/>
      <c r="D195" s="31" t="s">
        <v>1473</v>
      </c>
      <c r="E195" s="31" t="s">
        <v>114</v>
      </c>
      <c r="F195" s="33">
        <v>82605</v>
      </c>
      <c r="G195" s="34">
        <v>516.24</v>
      </c>
      <c r="H195" s="35">
        <v>2.2014070373688249E-3</v>
      </c>
    </row>
    <row r="196" spans="1:8" ht="39">
      <c r="A196" s="32">
        <v>190</v>
      </c>
      <c r="B196" s="253" t="s">
        <v>1474</v>
      </c>
      <c r="C196" s="253"/>
      <c r="D196" s="31" t="s">
        <v>1475</v>
      </c>
      <c r="E196" s="31" t="s">
        <v>353</v>
      </c>
      <c r="F196" s="33">
        <v>400893</v>
      </c>
      <c r="G196" s="34">
        <v>507.01</v>
      </c>
      <c r="H196" s="35">
        <v>2.1620450260872622E-3</v>
      </c>
    </row>
    <row r="197" spans="1:8" ht="26">
      <c r="A197" s="32">
        <v>191</v>
      </c>
      <c r="B197" s="253" t="s">
        <v>1476</v>
      </c>
      <c r="C197" s="253"/>
      <c r="D197" s="31" t="s">
        <v>1477</v>
      </c>
      <c r="E197" s="31" t="s">
        <v>114</v>
      </c>
      <c r="F197" s="33">
        <v>62198</v>
      </c>
      <c r="G197" s="34">
        <v>503.06</v>
      </c>
      <c r="H197" s="35">
        <v>2.145192673982737E-3</v>
      </c>
    </row>
    <row r="198" spans="1:8" ht="26">
      <c r="A198" s="32">
        <v>192</v>
      </c>
      <c r="B198" s="253" t="s">
        <v>1478</v>
      </c>
      <c r="C198" s="253"/>
      <c r="D198" s="31" t="s">
        <v>1479</v>
      </c>
      <c r="E198" s="31" t="s">
        <v>256</v>
      </c>
      <c r="F198" s="33">
        <v>138855</v>
      </c>
      <c r="G198" s="34">
        <v>498.63</v>
      </c>
      <c r="H198" s="35">
        <v>2.1263055386822592E-3</v>
      </c>
    </row>
    <row r="199" spans="1:8" ht="26">
      <c r="A199" s="32">
        <v>193</v>
      </c>
      <c r="B199" s="253" t="s">
        <v>1480</v>
      </c>
      <c r="C199" s="253"/>
      <c r="D199" s="31" t="s">
        <v>1481</v>
      </c>
      <c r="E199" s="31" t="s">
        <v>127</v>
      </c>
      <c r="F199" s="33">
        <v>325428</v>
      </c>
      <c r="G199" s="34">
        <v>498.04</v>
      </c>
      <c r="H199" s="35">
        <v>2.1237755501510107E-3</v>
      </c>
    </row>
    <row r="200" spans="1:8" ht="39">
      <c r="A200" s="32">
        <v>194</v>
      </c>
      <c r="B200" s="253" t="s">
        <v>1482</v>
      </c>
      <c r="C200" s="253"/>
      <c r="D200" s="31" t="s">
        <v>1483</v>
      </c>
      <c r="E200" s="31" t="s">
        <v>141</v>
      </c>
      <c r="F200" s="33">
        <v>40810</v>
      </c>
      <c r="G200" s="34">
        <v>496.45</v>
      </c>
      <c r="H200" s="35">
        <v>2.1170321361801228E-3</v>
      </c>
    </row>
    <row r="201" spans="1:8" ht="39">
      <c r="A201" s="32">
        <v>195</v>
      </c>
      <c r="B201" s="253" t="s">
        <v>1484</v>
      </c>
      <c r="C201" s="253"/>
      <c r="D201" s="31" t="s">
        <v>1485</v>
      </c>
      <c r="E201" s="31" t="s">
        <v>735</v>
      </c>
      <c r="F201" s="33">
        <v>43980</v>
      </c>
      <c r="G201" s="34">
        <v>492</v>
      </c>
      <c r="H201" s="35">
        <v>2.0980585590568636E-3</v>
      </c>
    </row>
    <row r="202" spans="1:8" ht="26">
      <c r="A202" s="32">
        <v>196</v>
      </c>
      <c r="B202" s="253" t="s">
        <v>1486</v>
      </c>
      <c r="C202" s="253"/>
      <c r="D202" s="31" t="s">
        <v>1487</v>
      </c>
      <c r="E202" s="31" t="s">
        <v>23</v>
      </c>
      <c r="F202" s="33">
        <v>71653</v>
      </c>
      <c r="G202" s="34">
        <v>479.04</v>
      </c>
      <c r="H202" s="35">
        <v>2.0427584423579263E-3</v>
      </c>
    </row>
    <row r="203" spans="1:8" ht="26">
      <c r="A203" s="32">
        <v>197</v>
      </c>
      <c r="B203" s="253" t="s">
        <v>1488</v>
      </c>
      <c r="C203" s="253"/>
      <c r="D203" s="31" t="s">
        <v>1489</v>
      </c>
      <c r="E203" s="31" t="s">
        <v>36</v>
      </c>
      <c r="F203" s="33">
        <v>89375</v>
      </c>
      <c r="G203" s="34">
        <v>477.8</v>
      </c>
      <c r="H203" s="35">
        <v>2.0374818643728219E-3</v>
      </c>
    </row>
    <row r="204" spans="1:8" ht="26">
      <c r="A204" s="32">
        <v>198</v>
      </c>
      <c r="B204" s="253" t="s">
        <v>1490</v>
      </c>
      <c r="C204" s="253"/>
      <c r="D204" s="31" t="s">
        <v>1491</v>
      </c>
      <c r="E204" s="31" t="s">
        <v>802</v>
      </c>
      <c r="F204" s="33">
        <v>276108</v>
      </c>
      <c r="G204" s="34">
        <v>471.95</v>
      </c>
      <c r="H204" s="35">
        <v>2.0125469715655047E-3</v>
      </c>
    </row>
    <row r="205" spans="1:8" ht="39">
      <c r="A205" s="32">
        <v>199</v>
      </c>
      <c r="B205" s="253" t="s">
        <v>1492</v>
      </c>
      <c r="C205" s="253"/>
      <c r="D205" s="31" t="s">
        <v>1493</v>
      </c>
      <c r="E205" s="31" t="s">
        <v>1494</v>
      </c>
      <c r="F205" s="33">
        <v>199044</v>
      </c>
      <c r="G205" s="34">
        <v>466.96</v>
      </c>
      <c r="H205" s="35">
        <v>1.9912502394321407E-3</v>
      </c>
    </row>
    <row r="206" spans="1:8" ht="26">
      <c r="A206" s="32">
        <v>200</v>
      </c>
      <c r="B206" s="253" t="s">
        <v>1495</v>
      </c>
      <c r="C206" s="253"/>
      <c r="D206" s="31" t="s">
        <v>1496</v>
      </c>
      <c r="E206" s="31" t="s">
        <v>83</v>
      </c>
      <c r="F206" s="33">
        <v>50450</v>
      </c>
      <c r="G206" s="34">
        <v>465.73</v>
      </c>
      <c r="H206" s="35">
        <v>1.9860134581177039E-3</v>
      </c>
    </row>
    <row r="207" spans="1:8" ht="26">
      <c r="A207" s="32">
        <v>201</v>
      </c>
      <c r="B207" s="253" t="s">
        <v>1497</v>
      </c>
      <c r="C207" s="253"/>
      <c r="D207" s="31" t="s">
        <v>67</v>
      </c>
      <c r="E207" s="31" t="s">
        <v>68</v>
      </c>
      <c r="F207" s="33">
        <v>123841</v>
      </c>
      <c r="G207" s="34">
        <v>463.85</v>
      </c>
      <c r="H207" s="35">
        <v>1.9779850016553701E-3</v>
      </c>
    </row>
    <row r="208" spans="1:8" ht="39">
      <c r="A208" s="32">
        <v>202</v>
      </c>
      <c r="B208" s="253" t="s">
        <v>1498</v>
      </c>
      <c r="C208" s="253"/>
      <c r="D208" s="31" t="s">
        <v>1499</v>
      </c>
      <c r="E208" s="31" t="s">
        <v>146</v>
      </c>
      <c r="F208" s="33">
        <v>155094</v>
      </c>
      <c r="G208" s="34">
        <v>460.32</v>
      </c>
      <c r="H208" s="35">
        <v>1.9629427620444341E-3</v>
      </c>
    </row>
    <row r="209" spans="1:8" ht="39">
      <c r="A209" s="32">
        <v>203</v>
      </c>
      <c r="B209" s="253" t="s">
        <v>1500</v>
      </c>
      <c r="C209" s="253"/>
      <c r="D209" s="31" t="s">
        <v>1501</v>
      </c>
      <c r="E209" s="31" t="s">
        <v>141</v>
      </c>
      <c r="F209" s="33">
        <v>43767</v>
      </c>
      <c r="G209" s="34">
        <v>456.53</v>
      </c>
      <c r="H209" s="35">
        <v>1.9468005799821646E-3</v>
      </c>
    </row>
    <row r="210" spans="1:8" ht="39">
      <c r="A210" s="32">
        <v>204</v>
      </c>
      <c r="B210" s="253" t="s">
        <v>1502</v>
      </c>
      <c r="C210" s="253"/>
      <c r="D210" s="31" t="s">
        <v>1503</v>
      </c>
      <c r="E210" s="31" t="s">
        <v>146</v>
      </c>
      <c r="F210" s="33">
        <v>207837</v>
      </c>
      <c r="G210" s="34">
        <v>454.06</v>
      </c>
      <c r="H210" s="35">
        <v>1.9362588519356335E-3</v>
      </c>
    </row>
    <row r="211" spans="1:8">
      <c r="A211" s="32">
        <v>205</v>
      </c>
      <c r="B211" s="253" t="s">
        <v>1504</v>
      </c>
      <c r="C211" s="253"/>
      <c r="D211" s="31" t="s">
        <v>1505</v>
      </c>
      <c r="E211" s="31" t="s">
        <v>127</v>
      </c>
      <c r="F211" s="33">
        <v>193197</v>
      </c>
      <c r="G211" s="34">
        <v>452.29</v>
      </c>
      <c r="H211" s="35">
        <v>1.9287195642517247E-3</v>
      </c>
    </row>
    <row r="212" spans="1:8" ht="26">
      <c r="A212" s="32">
        <v>206</v>
      </c>
      <c r="B212" s="253" t="s">
        <v>1506</v>
      </c>
      <c r="C212" s="253"/>
      <c r="D212" s="31" t="s">
        <v>1507</v>
      </c>
      <c r="E212" s="31" t="s">
        <v>36</v>
      </c>
      <c r="F212" s="33">
        <v>64556</v>
      </c>
      <c r="G212" s="34">
        <v>452.18</v>
      </c>
      <c r="H212" s="35">
        <v>1.928246248471197E-3</v>
      </c>
    </row>
    <row r="213" spans="1:8" ht="26">
      <c r="A213" s="32">
        <v>207</v>
      </c>
      <c r="B213" s="253" t="s">
        <v>1508</v>
      </c>
      <c r="C213" s="253"/>
      <c r="D213" s="31" t="s">
        <v>1509</v>
      </c>
      <c r="E213" s="31" t="s">
        <v>117</v>
      </c>
      <c r="F213" s="33">
        <v>123303</v>
      </c>
      <c r="G213" s="34">
        <v>445.99</v>
      </c>
      <c r="H213" s="35">
        <v>1.901826499984419E-3</v>
      </c>
    </row>
    <row r="214" spans="1:8" ht="26">
      <c r="A214" s="32">
        <v>208</v>
      </c>
      <c r="B214" s="253" t="s">
        <v>1510</v>
      </c>
      <c r="C214" s="253"/>
      <c r="D214" s="31" t="s">
        <v>1511</v>
      </c>
      <c r="E214" s="31" t="s">
        <v>316</v>
      </c>
      <c r="F214" s="33">
        <v>400364</v>
      </c>
      <c r="G214" s="34">
        <v>440.76</v>
      </c>
      <c r="H214" s="35">
        <v>1.8795402646255763E-3</v>
      </c>
    </row>
    <row r="215" spans="1:8" ht="39">
      <c r="A215" s="32">
        <v>209</v>
      </c>
      <c r="B215" s="253" t="s">
        <v>1512</v>
      </c>
      <c r="C215" s="253"/>
      <c r="D215" s="31" t="s">
        <v>1513</v>
      </c>
      <c r="E215" s="31" t="s">
        <v>141</v>
      </c>
      <c r="F215" s="33">
        <v>195603</v>
      </c>
      <c r="G215" s="34">
        <v>440.5</v>
      </c>
      <c r="H215" s="35">
        <v>1.8784197251317575E-3</v>
      </c>
    </row>
    <row r="216" spans="1:8" ht="39">
      <c r="A216" s="32">
        <v>210</v>
      </c>
      <c r="B216" s="253" t="s">
        <v>1514</v>
      </c>
      <c r="C216" s="253"/>
      <c r="D216" s="31" t="s">
        <v>1515</v>
      </c>
      <c r="E216" s="31" t="s">
        <v>146</v>
      </c>
      <c r="F216" s="33">
        <v>115312</v>
      </c>
      <c r="G216" s="34">
        <v>439.4</v>
      </c>
      <c r="H216" s="35">
        <v>1.8737222468060905E-3</v>
      </c>
    </row>
    <row r="217" spans="1:8" ht="39">
      <c r="A217" s="32">
        <v>211</v>
      </c>
      <c r="B217" s="253" t="s">
        <v>1516</v>
      </c>
      <c r="C217" s="253"/>
      <c r="D217" s="31" t="s">
        <v>1517</v>
      </c>
      <c r="E217" s="31" t="s">
        <v>39</v>
      </c>
      <c r="F217" s="33">
        <v>207936</v>
      </c>
      <c r="G217" s="34">
        <v>432.57</v>
      </c>
      <c r="H217" s="35">
        <v>1.8446093129485112E-3</v>
      </c>
    </row>
    <row r="218" spans="1:8" ht="26">
      <c r="A218" s="32">
        <v>212</v>
      </c>
      <c r="B218" s="253" t="s">
        <v>1518</v>
      </c>
      <c r="C218" s="253"/>
      <c r="D218" s="31" t="s">
        <v>1519</v>
      </c>
      <c r="E218" s="31" t="s">
        <v>83</v>
      </c>
      <c r="F218" s="33">
        <v>187266</v>
      </c>
      <c r="G218" s="34">
        <v>429.01</v>
      </c>
      <c r="H218" s="35">
        <v>1.8294216266873237E-3</v>
      </c>
    </row>
    <row r="219" spans="1:8" ht="26">
      <c r="A219" s="32">
        <v>213</v>
      </c>
      <c r="B219" s="253" t="s">
        <v>1520</v>
      </c>
      <c r="C219" s="253"/>
      <c r="D219" s="31" t="s">
        <v>1521</v>
      </c>
      <c r="E219" s="31" t="s">
        <v>83</v>
      </c>
      <c r="F219" s="33">
        <v>191591</v>
      </c>
      <c r="G219" s="34">
        <v>428.82</v>
      </c>
      <c r="H219" s="35">
        <v>1.8286169377932043E-3</v>
      </c>
    </row>
    <row r="220" spans="1:8" ht="26">
      <c r="A220" s="32">
        <v>214</v>
      </c>
      <c r="B220" s="253" t="s">
        <v>1522</v>
      </c>
      <c r="C220" s="253"/>
      <c r="D220" s="31" t="s">
        <v>1523</v>
      </c>
      <c r="E220" s="31" t="s">
        <v>114</v>
      </c>
      <c r="F220" s="33">
        <v>49207</v>
      </c>
      <c r="G220" s="34">
        <v>417.1</v>
      </c>
      <c r="H220" s="35">
        <v>1.7786569641596798E-3</v>
      </c>
    </row>
    <row r="221" spans="1:8" ht="26">
      <c r="A221" s="32">
        <v>215</v>
      </c>
      <c r="B221" s="253" t="s">
        <v>1524</v>
      </c>
      <c r="C221" s="253"/>
      <c r="D221" s="31" t="s">
        <v>1525</v>
      </c>
      <c r="E221" s="31" t="s">
        <v>83</v>
      </c>
      <c r="F221" s="33">
        <v>74716</v>
      </c>
      <c r="G221" s="34">
        <v>410.79</v>
      </c>
      <c r="H221" s="35">
        <v>1.7517296924524849E-3</v>
      </c>
    </row>
    <row r="222" spans="1:8" ht="26">
      <c r="A222" s="32">
        <v>216</v>
      </c>
      <c r="B222" s="253" t="s">
        <v>1526</v>
      </c>
      <c r="C222" s="253"/>
      <c r="D222" s="31" t="s">
        <v>1527</v>
      </c>
      <c r="E222" s="31" t="s">
        <v>23</v>
      </c>
      <c r="F222" s="33">
        <v>1128512</v>
      </c>
      <c r="G222" s="34">
        <v>408.63</v>
      </c>
      <c r="H222" s="35">
        <v>1.7425427795333991E-3</v>
      </c>
    </row>
    <row r="223" spans="1:8" ht="39">
      <c r="A223" s="32">
        <v>217</v>
      </c>
      <c r="B223" s="253" t="s">
        <v>1528</v>
      </c>
      <c r="C223" s="253"/>
      <c r="D223" s="31" t="s">
        <v>1529</v>
      </c>
      <c r="E223" s="31" t="s">
        <v>141</v>
      </c>
      <c r="F223" s="33">
        <v>35892</v>
      </c>
      <c r="G223" s="34">
        <v>400.91</v>
      </c>
      <c r="H223" s="35">
        <v>1.7096199407798669E-3</v>
      </c>
    </row>
    <row r="224" spans="1:8" ht="26">
      <c r="A224" s="32">
        <v>218</v>
      </c>
      <c r="B224" s="253" t="s">
        <v>1530</v>
      </c>
      <c r="C224" s="253"/>
      <c r="D224" s="31" t="s">
        <v>1531</v>
      </c>
      <c r="E224" s="31" t="s">
        <v>23</v>
      </c>
      <c r="F224" s="33">
        <v>436879</v>
      </c>
      <c r="G224" s="34">
        <v>398.22</v>
      </c>
      <c r="H224" s="35">
        <v>1.6981129930461142E-3</v>
      </c>
    </row>
    <row r="225" spans="1:8" ht="26">
      <c r="A225" s="32">
        <v>219</v>
      </c>
      <c r="B225" s="253" t="s">
        <v>1532</v>
      </c>
      <c r="C225" s="253"/>
      <c r="D225" s="31" t="s">
        <v>1533</v>
      </c>
      <c r="E225" s="31" t="s">
        <v>273</v>
      </c>
      <c r="F225" s="33">
        <v>406768</v>
      </c>
      <c r="G225" s="34">
        <v>392.57</v>
      </c>
      <c r="H225" s="35">
        <v>1.6740477375553047E-3</v>
      </c>
    </row>
    <row r="226" spans="1:8" ht="39">
      <c r="A226" s="32">
        <v>220</v>
      </c>
      <c r="B226" s="253" t="s">
        <v>1534</v>
      </c>
      <c r="C226" s="253"/>
      <c r="D226" s="31" t="s">
        <v>1535</v>
      </c>
      <c r="E226" s="31" t="s">
        <v>141</v>
      </c>
      <c r="F226" s="33">
        <v>274463</v>
      </c>
      <c r="G226" s="34">
        <v>389.16</v>
      </c>
      <c r="H226" s="35">
        <v>1.6595034175128154E-3</v>
      </c>
    </row>
    <row r="227" spans="1:8" ht="52">
      <c r="A227" s="32">
        <v>221</v>
      </c>
      <c r="B227" s="253" t="s">
        <v>1536</v>
      </c>
      <c r="C227" s="253"/>
      <c r="D227" s="31" t="s">
        <v>1537</v>
      </c>
      <c r="E227" s="31" t="s">
        <v>871</v>
      </c>
      <c r="F227" s="33">
        <v>74608</v>
      </c>
      <c r="G227" s="34">
        <v>386.99</v>
      </c>
      <c r="H227" s="35">
        <v>1.6502524593521443E-3</v>
      </c>
    </row>
    <row r="228" spans="1:8" ht="26">
      <c r="A228" s="32">
        <v>222</v>
      </c>
      <c r="B228" s="253" t="s">
        <v>1538</v>
      </c>
      <c r="C228" s="253"/>
      <c r="D228" s="31" t="s">
        <v>1539</v>
      </c>
      <c r="E228" s="31" t="s">
        <v>316</v>
      </c>
      <c r="F228" s="33">
        <v>59958</v>
      </c>
      <c r="G228" s="34">
        <v>384.78</v>
      </c>
      <c r="H228" s="35">
        <v>1.640823085456882E-3</v>
      </c>
    </row>
    <row r="229" spans="1:8" ht="39">
      <c r="A229" s="32">
        <v>223</v>
      </c>
      <c r="B229" s="253" t="s">
        <v>1540</v>
      </c>
      <c r="C229" s="253"/>
      <c r="D229" s="31" t="s">
        <v>1541</v>
      </c>
      <c r="E229" s="31" t="s">
        <v>146</v>
      </c>
      <c r="F229" s="33">
        <v>304157</v>
      </c>
      <c r="G229" s="34">
        <v>383.48</v>
      </c>
      <c r="H229" s="35">
        <v>1.6352823850814043E-3</v>
      </c>
    </row>
    <row r="230" spans="1:8" ht="26">
      <c r="A230" s="32">
        <v>224</v>
      </c>
      <c r="B230" s="253" t="s">
        <v>1542</v>
      </c>
      <c r="C230" s="253"/>
      <c r="D230" s="31" t="s">
        <v>1543</v>
      </c>
      <c r="E230" s="31" t="s">
        <v>114</v>
      </c>
      <c r="F230" s="33">
        <v>59198</v>
      </c>
      <c r="G230" s="34">
        <v>377.89</v>
      </c>
      <c r="H230" s="35">
        <v>1.6114418548761229E-3</v>
      </c>
    </row>
    <row r="231" spans="1:8" ht="26">
      <c r="A231" s="32">
        <v>225</v>
      </c>
      <c r="B231" s="253" t="s">
        <v>1544</v>
      </c>
      <c r="C231" s="253"/>
      <c r="D231" s="31" t="s">
        <v>1545</v>
      </c>
      <c r="E231" s="31" t="s">
        <v>408</v>
      </c>
      <c r="F231" s="33">
        <v>5896124</v>
      </c>
      <c r="G231" s="34">
        <v>372.05</v>
      </c>
      <c r="H231" s="35">
        <v>1.5865169277606728E-3</v>
      </c>
    </row>
    <row r="232" spans="1:8" ht="39">
      <c r="A232" s="32">
        <v>226</v>
      </c>
      <c r="B232" s="253" t="s">
        <v>1546</v>
      </c>
      <c r="C232" s="253"/>
      <c r="D232" s="31" t="s">
        <v>1547</v>
      </c>
      <c r="E232" s="31" t="s">
        <v>39</v>
      </c>
      <c r="F232" s="33">
        <v>286351</v>
      </c>
      <c r="G232" s="34">
        <v>371.25</v>
      </c>
      <c r="H232" s="35">
        <v>1.5831423538797892E-3</v>
      </c>
    </row>
    <row r="233" spans="1:8" ht="26">
      <c r="A233" s="32">
        <v>227</v>
      </c>
      <c r="B233" s="253" t="s">
        <v>1548</v>
      </c>
      <c r="C233" s="253"/>
      <c r="D233" s="31" t="s">
        <v>1549</v>
      </c>
      <c r="E233" s="31" t="s">
        <v>83</v>
      </c>
      <c r="F233" s="33">
        <v>32954</v>
      </c>
      <c r="G233" s="34">
        <v>369.65</v>
      </c>
      <c r="H233" s="35">
        <v>1.5762808513642308E-3</v>
      </c>
    </row>
    <row r="234" spans="1:8" ht="39">
      <c r="A234" s="32">
        <v>228</v>
      </c>
      <c r="B234" s="253" t="s">
        <v>1550</v>
      </c>
      <c r="C234" s="253"/>
      <c r="D234" s="31" t="s">
        <v>1551</v>
      </c>
      <c r="E234" s="31" t="s">
        <v>39</v>
      </c>
      <c r="F234" s="33">
        <v>79896</v>
      </c>
      <c r="G234" s="34">
        <v>368.88</v>
      </c>
      <c r="H234" s="35">
        <v>1.5730178612499372E-3</v>
      </c>
    </row>
    <row r="235" spans="1:8" ht="39">
      <c r="A235" s="32">
        <v>229</v>
      </c>
      <c r="B235" s="253" t="s">
        <v>1552</v>
      </c>
      <c r="C235" s="253"/>
      <c r="D235" s="31" t="s">
        <v>1553</v>
      </c>
      <c r="E235" s="31" t="s">
        <v>146</v>
      </c>
      <c r="F235" s="33">
        <v>51889</v>
      </c>
      <c r="G235" s="34">
        <v>360.73</v>
      </c>
      <c r="H235" s="35">
        <v>1.5382743805692006E-3</v>
      </c>
    </row>
    <row r="236" spans="1:8" ht="26">
      <c r="A236" s="32">
        <v>230</v>
      </c>
      <c r="B236" s="253" t="s">
        <v>1554</v>
      </c>
      <c r="C236" s="253"/>
      <c r="D236" s="31" t="s">
        <v>1555</v>
      </c>
      <c r="E236" s="31" t="s">
        <v>53</v>
      </c>
      <c r="F236" s="33">
        <v>248116</v>
      </c>
      <c r="G236" s="34">
        <v>355.75</v>
      </c>
      <c r="H236" s="35">
        <v>1.5170227358356013E-3</v>
      </c>
    </row>
    <row r="237" spans="1:8" ht="26">
      <c r="A237" s="32">
        <v>231</v>
      </c>
      <c r="B237" s="253" t="s">
        <v>1556</v>
      </c>
      <c r="C237" s="253"/>
      <c r="D237" s="31" t="s">
        <v>1557</v>
      </c>
      <c r="E237" s="31" t="s">
        <v>114</v>
      </c>
      <c r="F237" s="33">
        <v>49538</v>
      </c>
      <c r="G237" s="34">
        <v>352.07</v>
      </c>
      <c r="H237" s="35">
        <v>1.5013208872501596E-3</v>
      </c>
    </row>
    <row r="238" spans="1:8" ht="39">
      <c r="A238" s="32">
        <v>232</v>
      </c>
      <c r="B238" s="253" t="s">
        <v>1558</v>
      </c>
      <c r="C238" s="253"/>
      <c r="D238" s="31" t="s">
        <v>1559</v>
      </c>
      <c r="E238" s="31" t="s">
        <v>146</v>
      </c>
      <c r="F238" s="33">
        <v>49880</v>
      </c>
      <c r="G238" s="34">
        <v>348.71</v>
      </c>
      <c r="H238" s="35">
        <v>1.4870120556109874E-3</v>
      </c>
    </row>
    <row r="239" spans="1:8" ht="26">
      <c r="A239" s="32">
        <v>233</v>
      </c>
      <c r="B239" s="253" t="s">
        <v>1560</v>
      </c>
      <c r="C239" s="253"/>
      <c r="D239" s="31" t="s">
        <v>1561</v>
      </c>
      <c r="E239" s="31" t="s">
        <v>802</v>
      </c>
      <c r="F239" s="33">
        <v>50671</v>
      </c>
      <c r="G239" s="34">
        <v>347.2</v>
      </c>
      <c r="H239" s="35">
        <v>1.4805585004190589E-3</v>
      </c>
    </row>
    <row r="240" spans="1:8" ht="26">
      <c r="A240" s="32">
        <v>234</v>
      </c>
      <c r="B240" s="253" t="s">
        <v>1562</v>
      </c>
      <c r="C240" s="253"/>
      <c r="D240" s="31" t="s">
        <v>1061</v>
      </c>
      <c r="E240" s="31" t="s">
        <v>114</v>
      </c>
      <c r="F240" s="33">
        <v>140790</v>
      </c>
      <c r="G240" s="34">
        <v>336.77</v>
      </c>
      <c r="H240" s="35">
        <v>1.436090227257059E-3</v>
      </c>
    </row>
    <row r="241" spans="1:8" ht="26">
      <c r="A241" s="32">
        <v>235</v>
      </c>
      <c r="B241" s="253" t="s">
        <v>1563</v>
      </c>
      <c r="C241" s="253"/>
      <c r="D241" s="31" t="s">
        <v>1564</v>
      </c>
      <c r="E241" s="31" t="s">
        <v>117</v>
      </c>
      <c r="F241" s="33">
        <v>274382</v>
      </c>
      <c r="G241" s="34">
        <v>336.23</v>
      </c>
      <c r="H241" s="35">
        <v>1.4337790686031202E-3</v>
      </c>
    </row>
    <row r="242" spans="1:8" ht="39">
      <c r="A242" s="32">
        <v>236</v>
      </c>
      <c r="B242" s="253" t="s">
        <v>1565</v>
      </c>
      <c r="C242" s="253"/>
      <c r="D242" s="31" t="s">
        <v>1566</v>
      </c>
      <c r="E242" s="31" t="s">
        <v>735</v>
      </c>
      <c r="F242" s="33">
        <v>404261</v>
      </c>
      <c r="G242" s="34">
        <v>334.61</v>
      </c>
      <c r="H242" s="35">
        <v>1.4268671636521347E-3</v>
      </c>
    </row>
    <row r="243" spans="1:8" ht="26">
      <c r="A243" s="32">
        <v>237</v>
      </c>
      <c r="B243" s="253" t="s">
        <v>1567</v>
      </c>
      <c r="C243" s="253"/>
      <c r="D243" s="31" t="s">
        <v>1568</v>
      </c>
      <c r="E243" s="31" t="s">
        <v>1165</v>
      </c>
      <c r="F243" s="33">
        <v>171067</v>
      </c>
      <c r="G243" s="34">
        <v>308.74</v>
      </c>
      <c r="H243" s="35">
        <v>1.3165703312016676E-3</v>
      </c>
    </row>
    <row r="244" spans="1:8" ht="26">
      <c r="A244" s="32">
        <v>238</v>
      </c>
      <c r="B244" s="253" t="s">
        <v>1569</v>
      </c>
      <c r="C244" s="253"/>
      <c r="D244" s="31" t="s">
        <v>1570</v>
      </c>
      <c r="E244" s="31" t="s">
        <v>20</v>
      </c>
      <c r="F244" s="33">
        <v>51641</v>
      </c>
      <c r="G244" s="34">
        <v>307.39</v>
      </c>
      <c r="H244" s="35">
        <v>1.3108191884197117E-3</v>
      </c>
    </row>
    <row r="245" spans="1:8" ht="39">
      <c r="A245" s="32">
        <v>239</v>
      </c>
      <c r="B245" s="253" t="s">
        <v>1571</v>
      </c>
      <c r="C245" s="253"/>
      <c r="D245" s="31" t="s">
        <v>1572</v>
      </c>
      <c r="E245" s="31" t="s">
        <v>1290</v>
      </c>
      <c r="F245" s="33">
        <v>76198</v>
      </c>
      <c r="G245" s="34">
        <v>306.47000000000003</v>
      </c>
      <c r="H245" s="35">
        <v>1.3068759961263057E-3</v>
      </c>
    </row>
    <row r="246" spans="1:8" ht="26">
      <c r="A246" s="32">
        <v>240</v>
      </c>
      <c r="B246" s="253" t="s">
        <v>1573</v>
      </c>
      <c r="C246" s="253"/>
      <c r="D246" s="31" t="s">
        <v>1574</v>
      </c>
      <c r="E246" s="31" t="s">
        <v>83</v>
      </c>
      <c r="F246" s="33">
        <v>22260</v>
      </c>
      <c r="G246" s="34">
        <v>305.20999999999998</v>
      </c>
      <c r="H246" s="35">
        <v>1.3014965864439263E-3</v>
      </c>
    </row>
    <row r="247" spans="1:8" ht="26">
      <c r="A247" s="32">
        <v>241</v>
      </c>
      <c r="B247" s="253" t="s">
        <v>1575</v>
      </c>
      <c r="C247" s="253"/>
      <c r="D247" s="31" t="s">
        <v>1576</v>
      </c>
      <c r="E247" s="31" t="s">
        <v>114</v>
      </c>
      <c r="F247" s="33">
        <v>73669</v>
      </c>
      <c r="G247" s="34">
        <v>291.73</v>
      </c>
      <c r="H247" s="35">
        <v>1.2440238401780382E-3</v>
      </c>
    </row>
    <row r="248" spans="1:8" ht="26">
      <c r="A248" s="32">
        <v>242</v>
      </c>
      <c r="B248" s="253" t="s">
        <v>1577</v>
      </c>
      <c r="C248" s="253"/>
      <c r="D248" s="31" t="s">
        <v>1578</v>
      </c>
      <c r="E248" s="31" t="s">
        <v>273</v>
      </c>
      <c r="F248" s="33">
        <v>2794134</v>
      </c>
      <c r="G248" s="34">
        <v>290.31</v>
      </c>
      <c r="H248" s="35">
        <v>1.237973989747977E-3</v>
      </c>
    </row>
    <row r="249" spans="1:8" ht="26">
      <c r="A249" s="32">
        <v>243</v>
      </c>
      <c r="B249" s="253" t="s">
        <v>1579</v>
      </c>
      <c r="C249" s="253"/>
      <c r="D249" s="31" t="s">
        <v>1580</v>
      </c>
      <c r="E249" s="31" t="s">
        <v>316</v>
      </c>
      <c r="F249" s="33">
        <v>101914</v>
      </c>
      <c r="G249" s="34">
        <v>275.32</v>
      </c>
      <c r="H249" s="35">
        <v>1.1740526195379464E-3</v>
      </c>
    </row>
    <row r="250" spans="1:8" ht="26">
      <c r="A250" s="32">
        <v>244</v>
      </c>
      <c r="B250" s="253" t="s">
        <v>1581</v>
      </c>
      <c r="C250" s="253"/>
      <c r="D250" s="31" t="s">
        <v>1582</v>
      </c>
      <c r="E250" s="31" t="s">
        <v>408</v>
      </c>
      <c r="F250" s="33">
        <v>221612</v>
      </c>
      <c r="G250" s="34">
        <v>269.10000000000002</v>
      </c>
      <c r="H250" s="35">
        <v>1.1475404702819534E-3</v>
      </c>
    </row>
    <row r="251" spans="1:8" ht="39">
      <c r="A251" s="32">
        <v>245</v>
      </c>
      <c r="B251" s="253" t="s">
        <v>1583</v>
      </c>
      <c r="C251" s="253"/>
      <c r="D251" s="31" t="s">
        <v>1584</v>
      </c>
      <c r="E251" s="31" t="s">
        <v>353</v>
      </c>
      <c r="F251" s="33">
        <v>168848</v>
      </c>
      <c r="G251" s="34">
        <v>266.33999999999997</v>
      </c>
      <c r="H251" s="35">
        <v>1.1357598182538372E-3</v>
      </c>
    </row>
    <row r="252" spans="1:8" ht="26">
      <c r="A252" s="32">
        <v>246</v>
      </c>
      <c r="B252" s="253" t="s">
        <v>1585</v>
      </c>
      <c r="C252" s="253"/>
      <c r="D252" s="31" t="s">
        <v>1586</v>
      </c>
      <c r="E252" s="31" t="s">
        <v>802</v>
      </c>
      <c r="F252" s="33">
        <v>25250</v>
      </c>
      <c r="G252" s="34">
        <v>235.25</v>
      </c>
      <c r="H252" s="35">
        <v>1.0031969901378561E-3</v>
      </c>
    </row>
    <row r="253" spans="1:8" ht="39">
      <c r="A253" s="32">
        <v>247</v>
      </c>
      <c r="B253" s="253" t="s">
        <v>1587</v>
      </c>
      <c r="C253" s="253"/>
      <c r="D253" s="31" t="s">
        <v>1588</v>
      </c>
      <c r="E253" s="31" t="s">
        <v>146</v>
      </c>
      <c r="F253" s="33">
        <v>121522</v>
      </c>
      <c r="G253" s="34">
        <v>234.03</v>
      </c>
      <c r="H253" s="35">
        <v>9.9796390427424201E-4</v>
      </c>
    </row>
    <row r="254" spans="1:8" ht="26">
      <c r="A254" s="32">
        <v>248</v>
      </c>
      <c r="B254" s="253" t="s">
        <v>1589</v>
      </c>
      <c r="C254" s="253"/>
      <c r="D254" s="31" t="s">
        <v>1590</v>
      </c>
      <c r="E254" s="31" t="s">
        <v>408</v>
      </c>
      <c r="F254" s="33">
        <v>457769</v>
      </c>
      <c r="G254" s="34">
        <v>232.41</v>
      </c>
      <c r="H254" s="35">
        <v>9.9106533296695778E-4</v>
      </c>
    </row>
    <row r="255" spans="1:8" ht="26">
      <c r="A255" s="32">
        <v>249</v>
      </c>
      <c r="B255" s="253" t="s">
        <v>1591</v>
      </c>
      <c r="C255" s="253"/>
      <c r="D255" s="31" t="s">
        <v>1592</v>
      </c>
      <c r="E255" s="31" t="s">
        <v>68</v>
      </c>
      <c r="F255" s="33">
        <v>20753</v>
      </c>
      <c r="G255" s="34">
        <v>182.8</v>
      </c>
      <c r="H255" s="35">
        <v>7.7952776304942835E-4</v>
      </c>
    </row>
    <row r="256" spans="1:8" ht="26">
      <c r="A256" s="32">
        <v>250</v>
      </c>
      <c r="B256" s="253" t="s">
        <v>1593</v>
      </c>
      <c r="C256" s="253"/>
      <c r="D256" s="31" t="s">
        <v>1594</v>
      </c>
      <c r="E256" s="31" t="s">
        <v>802</v>
      </c>
      <c r="F256" s="33">
        <v>492555</v>
      </c>
      <c r="G256" s="34">
        <v>124.67</v>
      </c>
      <c r="H256" s="35">
        <v>5.3161303321456555E-4</v>
      </c>
    </row>
    <row r="257" spans="1:8">
      <c r="A257" s="28"/>
      <c r="B257" s="254" t="s">
        <v>91</v>
      </c>
      <c r="C257" s="254"/>
      <c r="D257" s="36"/>
      <c r="E257" s="36"/>
      <c r="F257" s="36"/>
      <c r="G257" s="37">
        <v>234300.09</v>
      </c>
      <c r="H257" s="38">
        <v>0.99912824725537608</v>
      </c>
    </row>
    <row r="258" spans="1:8" ht="26">
      <c r="A258" s="32">
        <v>1</v>
      </c>
      <c r="B258" s="253" t="s">
        <v>1595</v>
      </c>
      <c r="C258" s="253"/>
      <c r="D258" s="31" t="s">
        <v>1596</v>
      </c>
      <c r="E258" s="31" t="s">
        <v>273</v>
      </c>
      <c r="F258" s="33">
        <v>1257313</v>
      </c>
      <c r="G258" s="34">
        <v>292.58</v>
      </c>
      <c r="H258" s="35">
        <v>1.247637821789323E-3</v>
      </c>
    </row>
    <row r="259" spans="1:8">
      <c r="A259" s="28"/>
      <c r="B259" s="254" t="s">
        <v>91</v>
      </c>
      <c r="C259" s="254"/>
      <c r="D259" s="36"/>
      <c r="E259" s="36"/>
      <c r="F259" s="36"/>
      <c r="G259" s="37">
        <v>292.58</v>
      </c>
      <c r="H259" s="38">
        <v>1.247637821789323E-3</v>
      </c>
    </row>
    <row r="260" spans="1:8">
      <c r="A260" s="28"/>
      <c r="B260" s="249" t="s">
        <v>173</v>
      </c>
      <c r="C260" s="249"/>
      <c r="D260" s="31"/>
      <c r="E260" s="31"/>
      <c r="F260" s="39"/>
      <c r="G260" s="39"/>
      <c r="H260" s="39"/>
    </row>
    <row r="261" spans="1:8">
      <c r="A261" s="28"/>
      <c r="B261" s="254" t="s">
        <v>91</v>
      </c>
      <c r="C261" s="254"/>
      <c r="D261" s="36"/>
      <c r="E261" s="36"/>
      <c r="F261" s="40"/>
      <c r="G261" s="40"/>
      <c r="H261" s="40"/>
    </row>
    <row r="262" spans="1:8">
      <c r="A262" s="28"/>
      <c r="B262" s="249" t="s">
        <v>174</v>
      </c>
      <c r="C262" s="249"/>
      <c r="D262" s="31"/>
      <c r="E262" s="31"/>
      <c r="F262" s="31"/>
      <c r="G262" s="31"/>
      <c r="H262" s="31"/>
    </row>
    <row r="263" spans="1:8">
      <c r="A263" s="28"/>
      <c r="B263" s="249" t="s">
        <v>175</v>
      </c>
      <c r="C263" s="249"/>
      <c r="D263" s="30"/>
      <c r="E263" s="30"/>
      <c r="F263" s="31"/>
      <c r="G263" s="31"/>
      <c r="H263" s="31"/>
    </row>
    <row r="264" spans="1:8">
      <c r="A264" s="32">
        <v>1</v>
      </c>
      <c r="B264" s="253" t="s">
        <v>176</v>
      </c>
      <c r="C264" s="253"/>
      <c r="D264" s="31"/>
      <c r="E264" s="31"/>
      <c r="F264" s="33">
        <v>48000</v>
      </c>
      <c r="G264" s="34">
        <v>47.99</v>
      </c>
      <c r="H264" s="35">
        <v>2.046610813382446E-4</v>
      </c>
    </row>
    <row r="265" spans="1:8">
      <c r="A265" s="28"/>
      <c r="B265" s="254" t="s">
        <v>91</v>
      </c>
      <c r="C265" s="254"/>
      <c r="D265" s="36"/>
      <c r="E265" s="36"/>
      <c r="F265" s="36"/>
      <c r="G265" s="37">
        <v>47.99</v>
      </c>
      <c r="H265" s="38">
        <v>2.046610813382446E-4</v>
      </c>
    </row>
    <row r="266" spans="1:8">
      <c r="A266" s="28"/>
      <c r="B266" s="249" t="s">
        <v>177</v>
      </c>
      <c r="C266" s="249"/>
      <c r="D266" s="31"/>
      <c r="E266" s="31"/>
      <c r="F266" s="31"/>
      <c r="G266" s="31"/>
      <c r="H266" s="31"/>
    </row>
    <row r="267" spans="1:8">
      <c r="A267" s="28"/>
      <c r="B267" s="249" t="s">
        <v>178</v>
      </c>
      <c r="C267" s="249"/>
      <c r="D267" s="31"/>
      <c r="E267" s="31"/>
      <c r="F267" s="31"/>
      <c r="G267" s="41">
        <v>-136.12</v>
      </c>
      <c r="H267" s="42">
        <v>-5.8054615850369241E-4</v>
      </c>
    </row>
    <row r="268" spans="1:8">
      <c r="A268" s="28"/>
      <c r="B268" s="255" t="s">
        <v>179</v>
      </c>
      <c r="C268" s="255"/>
      <c r="D268" s="43"/>
      <c r="E268" s="43"/>
      <c r="F268" s="43"/>
      <c r="G268" s="44">
        <v>234504.54</v>
      </c>
      <c r="H268" s="45">
        <v>1</v>
      </c>
    </row>
  </sheetData>
  <mergeCells count="268">
    <mergeCell ref="B265:C265"/>
    <mergeCell ref="B266:C266"/>
    <mergeCell ref="B267:C267"/>
    <mergeCell ref="B268:C268"/>
    <mergeCell ref="B259:C259"/>
    <mergeCell ref="B260:C260"/>
    <mergeCell ref="B261:C261"/>
    <mergeCell ref="B262:C262"/>
    <mergeCell ref="B263:C263"/>
    <mergeCell ref="B264:C264"/>
    <mergeCell ref="B253:C253"/>
    <mergeCell ref="B254:C254"/>
    <mergeCell ref="B255:C255"/>
    <mergeCell ref="B256:C256"/>
    <mergeCell ref="B257:C257"/>
    <mergeCell ref="B258:C258"/>
    <mergeCell ref="B247:C247"/>
    <mergeCell ref="B248:C248"/>
    <mergeCell ref="B249:C249"/>
    <mergeCell ref="B250:C250"/>
    <mergeCell ref="B251:C251"/>
    <mergeCell ref="B252:C252"/>
    <mergeCell ref="B241:C241"/>
    <mergeCell ref="B242:C242"/>
    <mergeCell ref="B243:C243"/>
    <mergeCell ref="B244:C244"/>
    <mergeCell ref="B245:C245"/>
    <mergeCell ref="B246:C246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H1"/>
    <mergeCell ref="B2:H2"/>
    <mergeCell ref="B3:H3"/>
    <mergeCell ref="B4:C4"/>
    <mergeCell ref="B5:C5"/>
    <mergeCell ref="B6:C6"/>
    <mergeCell ref="B13:C13"/>
    <mergeCell ref="B14:C14"/>
    <mergeCell ref="B15:C15"/>
  </mergeCells>
  <hyperlinks>
    <hyperlink ref="A1" location="Index!A1" display="Back to Index" xr:uid="{70F02DC6-D5E0-8E43-9C8F-0C93002901A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934C-DC1F-DC41-84DD-1E0B9CBA8468}">
  <dimension ref="A1:I92"/>
  <sheetViews>
    <sheetView workbookViewId="0">
      <selection activeCell="O33" sqref="O33"/>
    </sheetView>
  </sheetViews>
  <sheetFormatPr baseColWidth="10" defaultRowHeight="16"/>
  <cols>
    <col min="7" max="7" width="11" bestFit="1" customWidth="1"/>
    <col min="8" max="8" width="11.6640625" bestFit="1" customWidth="1"/>
    <col min="9" max="9" width="11" bestFit="1" customWidth="1"/>
  </cols>
  <sheetData>
    <row r="1" spans="1:9">
      <c r="A1" s="227"/>
      <c r="B1" s="227"/>
      <c r="C1" s="228" t="s">
        <v>1597</v>
      </c>
      <c r="D1" s="227"/>
      <c r="E1" s="227"/>
      <c r="F1" s="229"/>
      <c r="G1" s="227"/>
      <c r="H1" s="230"/>
      <c r="I1" s="231"/>
    </row>
    <row r="2" spans="1:9" ht="46">
      <c r="A2" s="245" t="s">
        <v>104</v>
      </c>
      <c r="B2" s="246"/>
      <c r="C2" s="246"/>
      <c r="D2" s="232" t="s">
        <v>1598</v>
      </c>
      <c r="E2" s="232" t="s">
        <v>193</v>
      </c>
      <c r="F2" s="233" t="s">
        <v>1599</v>
      </c>
      <c r="G2" s="232" t="s">
        <v>6</v>
      </c>
      <c r="H2" s="234" t="s">
        <v>1600</v>
      </c>
      <c r="I2" s="235" t="s">
        <v>8</v>
      </c>
    </row>
    <row r="3" spans="1:9">
      <c r="A3" s="247" t="s">
        <v>9</v>
      </c>
      <c r="B3" s="248"/>
      <c r="C3" s="248"/>
      <c r="D3" s="236"/>
      <c r="E3" s="236"/>
      <c r="F3" s="237"/>
      <c r="G3" s="236"/>
      <c r="H3" s="238"/>
      <c r="I3" s="239"/>
    </row>
    <row r="4" spans="1:9">
      <c r="A4" s="236"/>
      <c r="B4" s="247" t="s">
        <v>1601</v>
      </c>
      <c r="C4" s="248"/>
      <c r="D4" s="236"/>
      <c r="E4" s="236"/>
      <c r="F4" s="237"/>
      <c r="G4" s="236"/>
      <c r="H4" s="238"/>
      <c r="I4" s="239"/>
    </row>
    <row r="5" spans="1:9">
      <c r="A5" s="236"/>
      <c r="B5" s="240" t="s">
        <v>695</v>
      </c>
      <c r="C5" s="236" t="s">
        <v>1602</v>
      </c>
      <c r="D5" s="236" t="s">
        <v>1603</v>
      </c>
      <c r="E5" s="236" t="s">
        <v>266</v>
      </c>
      <c r="F5" s="237"/>
      <c r="G5" s="236">
        <v>11757234</v>
      </c>
      <c r="H5" s="238">
        <v>64917.57</v>
      </c>
      <c r="I5" s="239">
        <v>3.9699999999999998</v>
      </c>
    </row>
    <row r="6" spans="1:9">
      <c r="A6" s="236"/>
      <c r="B6" s="240" t="s">
        <v>695</v>
      </c>
      <c r="C6" s="236" t="s">
        <v>1604</v>
      </c>
      <c r="D6" s="236" t="s">
        <v>1605</v>
      </c>
      <c r="E6" s="236" t="s">
        <v>266</v>
      </c>
      <c r="F6" s="237"/>
      <c r="G6" s="236">
        <v>5861236</v>
      </c>
      <c r="H6" s="238">
        <v>56191.67</v>
      </c>
      <c r="I6" s="239">
        <v>3.4300000000000006</v>
      </c>
    </row>
    <row r="7" spans="1:9">
      <c r="A7" s="236"/>
      <c r="B7" s="240" t="s">
        <v>695</v>
      </c>
      <c r="C7" s="236" t="s">
        <v>1606</v>
      </c>
      <c r="D7" s="236" t="s">
        <v>1607</v>
      </c>
      <c r="E7" s="236" t="s">
        <v>266</v>
      </c>
      <c r="F7" s="237"/>
      <c r="G7" s="236">
        <v>8454118</v>
      </c>
      <c r="H7" s="238">
        <v>51041.74</v>
      </c>
      <c r="I7" s="239">
        <v>3.12</v>
      </c>
    </row>
    <row r="8" spans="1:9">
      <c r="A8" s="236"/>
      <c r="B8" s="240" t="s">
        <v>695</v>
      </c>
      <c r="C8" s="236" t="s">
        <v>1024</v>
      </c>
      <c r="D8" s="236" t="s">
        <v>1025</v>
      </c>
      <c r="E8" s="236" t="s">
        <v>83</v>
      </c>
      <c r="F8" s="237"/>
      <c r="G8" s="236">
        <v>5826898</v>
      </c>
      <c r="H8" s="238">
        <v>46836.61</v>
      </c>
      <c r="I8" s="239">
        <v>2.86</v>
      </c>
    </row>
    <row r="9" spans="1:9">
      <c r="A9" s="236"/>
      <c r="B9" s="240" t="s">
        <v>695</v>
      </c>
      <c r="C9" s="236" t="s">
        <v>1608</v>
      </c>
      <c r="D9" s="236" t="s">
        <v>1132</v>
      </c>
      <c r="E9" s="236" t="s">
        <v>136</v>
      </c>
      <c r="F9" s="237"/>
      <c r="G9" s="236">
        <v>2615539</v>
      </c>
      <c r="H9" s="238">
        <v>45384.83</v>
      </c>
      <c r="I9" s="239">
        <v>2.7700000000000005</v>
      </c>
    </row>
    <row r="10" spans="1:9">
      <c r="A10" s="236"/>
      <c r="B10" s="240" t="s">
        <v>695</v>
      </c>
      <c r="C10" s="236" t="s">
        <v>1609</v>
      </c>
      <c r="D10" s="236" t="s">
        <v>1610</v>
      </c>
      <c r="E10" s="236" t="s">
        <v>316</v>
      </c>
      <c r="F10" s="237"/>
      <c r="G10" s="236">
        <v>3572133</v>
      </c>
      <c r="H10" s="238">
        <v>40865.200000000004</v>
      </c>
      <c r="I10" s="239">
        <v>2.5</v>
      </c>
    </row>
    <row r="11" spans="1:9">
      <c r="A11" s="236"/>
      <c r="B11" s="240" t="s">
        <v>695</v>
      </c>
      <c r="C11" s="236" t="s">
        <v>1611</v>
      </c>
      <c r="D11" s="236" t="s">
        <v>35</v>
      </c>
      <c r="E11" s="236" t="s">
        <v>36</v>
      </c>
      <c r="F11" s="237"/>
      <c r="G11" s="236">
        <v>3311236</v>
      </c>
      <c r="H11" s="238">
        <v>37685.18</v>
      </c>
      <c r="I11" s="239">
        <v>2.2999999999999998</v>
      </c>
    </row>
    <row r="12" spans="1:9">
      <c r="A12" s="236"/>
      <c r="B12" s="240" t="s">
        <v>695</v>
      </c>
      <c r="C12" s="236" t="s">
        <v>1612</v>
      </c>
      <c r="D12" s="236" t="s">
        <v>1613</v>
      </c>
      <c r="E12" s="236" t="s">
        <v>316</v>
      </c>
      <c r="F12" s="237"/>
      <c r="G12" s="236">
        <v>3642296</v>
      </c>
      <c r="H12" s="238">
        <v>35494.17</v>
      </c>
      <c r="I12" s="239">
        <v>2.17</v>
      </c>
    </row>
    <row r="13" spans="1:9">
      <c r="A13" s="236"/>
      <c r="B13" s="240" t="s">
        <v>695</v>
      </c>
      <c r="C13" s="236" t="s">
        <v>1614</v>
      </c>
      <c r="D13" s="236" t="s">
        <v>751</v>
      </c>
      <c r="E13" s="236" t="s">
        <v>1615</v>
      </c>
      <c r="F13" s="237"/>
      <c r="G13" s="236">
        <v>1219302</v>
      </c>
      <c r="H13" s="238">
        <v>33919.760000000002</v>
      </c>
      <c r="I13" s="239">
        <v>2.0699999999999998</v>
      </c>
    </row>
    <row r="14" spans="1:9">
      <c r="A14" s="236"/>
      <c r="B14" s="240" t="s">
        <v>695</v>
      </c>
      <c r="C14" s="236" t="s">
        <v>1616</v>
      </c>
      <c r="D14" s="236" t="s">
        <v>737</v>
      </c>
      <c r="E14" s="236" t="s">
        <v>23</v>
      </c>
      <c r="F14" s="237"/>
      <c r="G14" s="236">
        <v>25804976</v>
      </c>
      <c r="H14" s="238">
        <v>32501.37</v>
      </c>
      <c r="I14" s="239">
        <v>1.9900000000000002</v>
      </c>
    </row>
    <row r="15" spans="1:9">
      <c r="A15" s="236"/>
      <c r="B15" s="240" t="s">
        <v>695</v>
      </c>
      <c r="C15" s="236" t="s">
        <v>1617</v>
      </c>
      <c r="D15" s="236" t="s">
        <v>124</v>
      </c>
      <c r="E15" s="236" t="s">
        <v>111</v>
      </c>
      <c r="F15" s="237"/>
      <c r="G15" s="236">
        <v>3181620</v>
      </c>
      <c r="H15" s="238">
        <v>32452.52</v>
      </c>
      <c r="I15" s="239">
        <v>1.9800000000000002</v>
      </c>
    </row>
    <row r="16" spans="1:9">
      <c r="A16" s="236"/>
      <c r="B16" s="240" t="s">
        <v>695</v>
      </c>
      <c r="C16" s="236" t="s">
        <v>1618</v>
      </c>
      <c r="D16" s="236" t="s">
        <v>1283</v>
      </c>
      <c r="E16" s="236" t="s">
        <v>1619</v>
      </c>
      <c r="F16" s="237"/>
      <c r="G16" s="236">
        <v>4803273</v>
      </c>
      <c r="H16" s="238">
        <v>31442.23</v>
      </c>
      <c r="I16" s="239">
        <v>1.9200000000000002</v>
      </c>
    </row>
    <row r="17" spans="1:9">
      <c r="A17" s="236"/>
      <c r="B17" s="240" t="s">
        <v>695</v>
      </c>
      <c r="C17" s="236" t="s">
        <v>1620</v>
      </c>
      <c r="D17" s="236" t="s">
        <v>163</v>
      </c>
      <c r="E17" s="236" t="s">
        <v>117</v>
      </c>
      <c r="F17" s="237"/>
      <c r="G17" s="236">
        <v>959037</v>
      </c>
      <c r="H17" s="238">
        <v>30979.77</v>
      </c>
      <c r="I17" s="239">
        <v>1.8900000000000001</v>
      </c>
    </row>
    <row r="18" spans="1:9">
      <c r="A18" s="236"/>
      <c r="B18" s="240" t="s">
        <v>695</v>
      </c>
      <c r="C18" s="236" t="s">
        <v>1621</v>
      </c>
      <c r="D18" s="236" t="s">
        <v>1622</v>
      </c>
      <c r="E18" s="236" t="s">
        <v>127</v>
      </c>
      <c r="F18" s="237"/>
      <c r="G18" s="236">
        <v>4112297</v>
      </c>
      <c r="H18" s="238">
        <v>30934.75</v>
      </c>
      <c r="I18" s="239">
        <v>1.8900000000000001</v>
      </c>
    </row>
    <row r="19" spans="1:9">
      <c r="A19" s="236"/>
      <c r="B19" s="240" t="s">
        <v>695</v>
      </c>
      <c r="C19" s="236" t="s">
        <v>1623</v>
      </c>
      <c r="D19" s="236" t="s">
        <v>1624</v>
      </c>
      <c r="E19" s="236" t="s">
        <v>136</v>
      </c>
      <c r="F19" s="237"/>
      <c r="G19" s="236">
        <v>5440130</v>
      </c>
      <c r="H19" s="238">
        <v>30619.77</v>
      </c>
      <c r="I19" s="239">
        <v>1.87</v>
      </c>
    </row>
    <row r="20" spans="1:9">
      <c r="A20" s="236"/>
      <c r="B20" s="240" t="s">
        <v>695</v>
      </c>
      <c r="C20" s="236" t="s">
        <v>1625</v>
      </c>
      <c r="D20" s="236" t="s">
        <v>1152</v>
      </c>
      <c r="E20" s="236" t="s">
        <v>23</v>
      </c>
      <c r="F20" s="237"/>
      <c r="G20" s="236">
        <v>3578425</v>
      </c>
      <c r="H20" s="238">
        <v>28589.83</v>
      </c>
      <c r="I20" s="239">
        <v>1.7500000000000002</v>
      </c>
    </row>
    <row r="21" spans="1:9">
      <c r="A21" s="236"/>
      <c r="B21" s="240" t="s">
        <v>695</v>
      </c>
      <c r="C21" s="236" t="s">
        <v>1626</v>
      </c>
      <c r="D21" s="236" t="s">
        <v>1627</v>
      </c>
      <c r="E21" s="236" t="s">
        <v>83</v>
      </c>
      <c r="F21" s="237"/>
      <c r="G21" s="236">
        <v>8020673</v>
      </c>
      <c r="H21" s="238">
        <v>28228.760000000002</v>
      </c>
      <c r="I21" s="239">
        <v>1.72</v>
      </c>
    </row>
    <row r="22" spans="1:9">
      <c r="A22" s="236"/>
      <c r="B22" s="240" t="s">
        <v>695</v>
      </c>
      <c r="C22" s="236" t="s">
        <v>1628</v>
      </c>
      <c r="D22" s="236" t="s">
        <v>1629</v>
      </c>
      <c r="E22" s="236" t="s">
        <v>266</v>
      </c>
      <c r="F22" s="237"/>
      <c r="G22" s="236">
        <v>1506802</v>
      </c>
      <c r="H22" s="238">
        <v>28222.400000000001</v>
      </c>
      <c r="I22" s="239">
        <v>1.72</v>
      </c>
    </row>
    <row r="23" spans="1:9">
      <c r="A23" s="236"/>
      <c r="B23" s="240" t="s">
        <v>695</v>
      </c>
      <c r="C23" s="236" t="s">
        <v>1630</v>
      </c>
      <c r="D23" s="236" t="s">
        <v>1631</v>
      </c>
      <c r="E23" s="236" t="s">
        <v>111</v>
      </c>
      <c r="F23" s="237"/>
      <c r="G23" s="236">
        <v>9829154</v>
      </c>
      <c r="H23" s="238">
        <v>27069.49</v>
      </c>
      <c r="I23" s="239">
        <v>1.6500000000000001</v>
      </c>
    </row>
    <row r="24" spans="1:9">
      <c r="A24" s="236"/>
      <c r="B24" s="240" t="s">
        <v>695</v>
      </c>
      <c r="C24" s="236" t="s">
        <v>1632</v>
      </c>
      <c r="D24" s="236" t="s">
        <v>234</v>
      </c>
      <c r="E24" s="236" t="s">
        <v>168</v>
      </c>
      <c r="F24" s="237"/>
      <c r="G24" s="236">
        <v>1969821</v>
      </c>
      <c r="H24" s="238">
        <v>26994.43</v>
      </c>
      <c r="I24" s="239">
        <v>1.6500000000000001</v>
      </c>
    </row>
    <row r="25" spans="1:9">
      <c r="A25" s="236"/>
      <c r="B25" s="240" t="s">
        <v>695</v>
      </c>
      <c r="C25" s="236" t="s">
        <v>1633</v>
      </c>
      <c r="D25" s="236" t="s">
        <v>1634</v>
      </c>
      <c r="E25" s="236" t="s">
        <v>1615</v>
      </c>
      <c r="F25" s="237"/>
      <c r="G25" s="236">
        <v>3427766</v>
      </c>
      <c r="H25" s="238">
        <v>26846.260000000002</v>
      </c>
      <c r="I25" s="239">
        <v>1.6400000000000001</v>
      </c>
    </row>
    <row r="26" spans="1:9">
      <c r="A26" s="236"/>
      <c r="B26" s="240" t="s">
        <v>695</v>
      </c>
      <c r="C26" s="236" t="s">
        <v>1635</v>
      </c>
      <c r="D26" s="236" t="s">
        <v>1636</v>
      </c>
      <c r="E26" s="236" t="s">
        <v>111</v>
      </c>
      <c r="F26" s="237"/>
      <c r="G26" s="236">
        <v>5808448</v>
      </c>
      <c r="H26" s="238">
        <v>26483.62</v>
      </c>
      <c r="I26" s="239">
        <v>1.6199999999999999</v>
      </c>
    </row>
    <row r="27" spans="1:9">
      <c r="A27" s="236"/>
      <c r="B27" s="240" t="s">
        <v>695</v>
      </c>
      <c r="C27" s="236" t="s">
        <v>1637</v>
      </c>
      <c r="D27" s="236" t="s">
        <v>1638</v>
      </c>
      <c r="E27" s="236" t="s">
        <v>1639</v>
      </c>
      <c r="F27" s="237"/>
      <c r="G27" s="236">
        <v>1459578</v>
      </c>
      <c r="H27" s="238">
        <v>26197.97</v>
      </c>
      <c r="I27" s="239">
        <v>1.6</v>
      </c>
    </row>
    <row r="28" spans="1:9">
      <c r="A28" s="236"/>
      <c r="B28" s="240" t="s">
        <v>695</v>
      </c>
      <c r="C28" s="236" t="s">
        <v>1640</v>
      </c>
      <c r="D28" s="236" t="s">
        <v>1641</v>
      </c>
      <c r="E28" s="236" t="s">
        <v>83</v>
      </c>
      <c r="F28" s="237"/>
      <c r="G28" s="236">
        <v>1389161</v>
      </c>
      <c r="H28" s="238">
        <v>25239.670000000002</v>
      </c>
      <c r="I28" s="239">
        <v>1.54</v>
      </c>
    </row>
    <row r="29" spans="1:9">
      <c r="A29" s="236"/>
      <c r="B29" s="240" t="s">
        <v>695</v>
      </c>
      <c r="C29" s="236" t="s">
        <v>1642</v>
      </c>
      <c r="D29" s="236" t="s">
        <v>1643</v>
      </c>
      <c r="E29" s="236" t="s">
        <v>1639</v>
      </c>
      <c r="F29" s="237"/>
      <c r="G29" s="236">
        <v>450309</v>
      </c>
      <c r="H29" s="238">
        <v>24872.82</v>
      </c>
      <c r="I29" s="239">
        <v>1.52</v>
      </c>
    </row>
    <row r="30" spans="1:9">
      <c r="A30" s="236"/>
      <c r="B30" s="240" t="s">
        <v>695</v>
      </c>
      <c r="C30" s="236" t="s">
        <v>1644</v>
      </c>
      <c r="D30" s="236" t="s">
        <v>222</v>
      </c>
      <c r="E30" s="236" t="s">
        <v>168</v>
      </c>
      <c r="F30" s="237"/>
      <c r="G30" s="236">
        <v>1735719</v>
      </c>
      <c r="H30" s="238">
        <v>23518.99</v>
      </c>
      <c r="I30" s="239">
        <v>1.4400000000000002</v>
      </c>
    </row>
    <row r="31" spans="1:9">
      <c r="A31" s="236"/>
      <c r="B31" s="240" t="s">
        <v>695</v>
      </c>
      <c r="C31" s="236" t="s">
        <v>1645</v>
      </c>
      <c r="D31" s="236" t="s">
        <v>1646</v>
      </c>
      <c r="E31" s="236" t="s">
        <v>36</v>
      </c>
      <c r="F31" s="237"/>
      <c r="G31" s="236">
        <v>46542680</v>
      </c>
      <c r="H31" s="238">
        <v>23238.760000000002</v>
      </c>
      <c r="I31" s="239">
        <v>1.4200000000000002</v>
      </c>
    </row>
    <row r="32" spans="1:9">
      <c r="A32" s="236"/>
      <c r="B32" s="240" t="s">
        <v>695</v>
      </c>
      <c r="C32" s="236" t="s">
        <v>798</v>
      </c>
      <c r="D32" s="236" t="s">
        <v>799</v>
      </c>
      <c r="E32" s="236" t="s">
        <v>273</v>
      </c>
      <c r="F32" s="237"/>
      <c r="G32" s="236">
        <v>422495</v>
      </c>
      <c r="H32" s="238">
        <v>23203.43</v>
      </c>
      <c r="I32" s="239">
        <v>1.4200000000000002</v>
      </c>
    </row>
    <row r="33" spans="1:9">
      <c r="A33" s="236"/>
      <c r="B33" s="240" t="s">
        <v>695</v>
      </c>
      <c r="C33" s="236" t="s">
        <v>1647</v>
      </c>
      <c r="D33" s="236" t="s">
        <v>1648</v>
      </c>
      <c r="E33" s="236" t="s">
        <v>1649</v>
      </c>
      <c r="F33" s="237"/>
      <c r="G33" s="236">
        <v>3629417</v>
      </c>
      <c r="H33" s="238">
        <v>23055.87</v>
      </c>
      <c r="I33" s="239">
        <v>1.4100000000000001</v>
      </c>
    </row>
    <row r="34" spans="1:9">
      <c r="A34" s="236"/>
      <c r="B34" s="240" t="s">
        <v>695</v>
      </c>
      <c r="C34" s="236" t="s">
        <v>1650</v>
      </c>
      <c r="D34" s="236" t="s">
        <v>1296</v>
      </c>
      <c r="E34" s="236" t="s">
        <v>23</v>
      </c>
      <c r="F34" s="237"/>
      <c r="G34" s="236">
        <v>3512254</v>
      </c>
      <c r="H34" s="238">
        <v>22206.23</v>
      </c>
      <c r="I34" s="239">
        <v>1.36</v>
      </c>
    </row>
    <row r="35" spans="1:9">
      <c r="A35" s="236"/>
      <c r="B35" s="240" t="s">
        <v>695</v>
      </c>
      <c r="C35" s="236" t="s">
        <v>1651</v>
      </c>
      <c r="D35" s="236" t="s">
        <v>1652</v>
      </c>
      <c r="E35" s="236" t="s">
        <v>23</v>
      </c>
      <c r="F35" s="237"/>
      <c r="G35" s="236">
        <v>592919</v>
      </c>
      <c r="H35" s="238">
        <v>21875.75</v>
      </c>
      <c r="I35" s="239">
        <v>1.34</v>
      </c>
    </row>
    <row r="36" spans="1:9">
      <c r="A36" s="236"/>
      <c r="B36" s="240" t="s">
        <v>695</v>
      </c>
      <c r="C36" s="236" t="s">
        <v>1653</v>
      </c>
      <c r="D36" s="236" t="s">
        <v>840</v>
      </c>
      <c r="E36" s="236" t="s">
        <v>841</v>
      </c>
      <c r="F36" s="237"/>
      <c r="G36" s="236">
        <v>1200000</v>
      </c>
      <c r="H36" s="238">
        <v>21769.200000000001</v>
      </c>
      <c r="I36" s="239">
        <v>1.33</v>
      </c>
    </row>
    <row r="37" spans="1:9">
      <c r="A37" s="236"/>
      <c r="B37" s="240" t="s">
        <v>695</v>
      </c>
      <c r="C37" s="236" t="s">
        <v>1654</v>
      </c>
      <c r="D37" s="236" t="s">
        <v>783</v>
      </c>
      <c r="E37" s="236" t="s">
        <v>20</v>
      </c>
      <c r="F37" s="237"/>
      <c r="G37" s="236">
        <v>1403312</v>
      </c>
      <c r="H37" s="238">
        <v>21678.36</v>
      </c>
      <c r="I37" s="239">
        <v>1.32</v>
      </c>
    </row>
    <row r="38" spans="1:9">
      <c r="A38" s="236"/>
      <c r="B38" s="240" t="s">
        <v>695</v>
      </c>
      <c r="C38" s="236" t="s">
        <v>1655</v>
      </c>
      <c r="D38" s="236" t="s">
        <v>1224</v>
      </c>
      <c r="E38" s="236" t="s">
        <v>127</v>
      </c>
      <c r="F38" s="237"/>
      <c r="G38" s="236">
        <v>5876088</v>
      </c>
      <c r="H38" s="238">
        <v>21579.93</v>
      </c>
      <c r="I38" s="239">
        <v>1.32</v>
      </c>
    </row>
    <row r="39" spans="1:9">
      <c r="A39" s="236"/>
      <c r="B39" s="240" t="s">
        <v>695</v>
      </c>
      <c r="C39" s="236" t="s">
        <v>1656</v>
      </c>
      <c r="D39" s="236" t="s">
        <v>1150</v>
      </c>
      <c r="E39" s="236" t="s">
        <v>114</v>
      </c>
      <c r="F39" s="237"/>
      <c r="G39" s="236">
        <v>940332</v>
      </c>
      <c r="H39" s="238">
        <v>20844.34</v>
      </c>
      <c r="I39" s="239">
        <v>1.27</v>
      </c>
    </row>
    <row r="40" spans="1:9">
      <c r="A40" s="236"/>
      <c r="B40" s="240" t="s">
        <v>695</v>
      </c>
      <c r="C40" s="236" t="s">
        <v>1657</v>
      </c>
      <c r="D40" s="236" t="s">
        <v>838</v>
      </c>
      <c r="E40" s="236" t="s">
        <v>114</v>
      </c>
      <c r="F40" s="237"/>
      <c r="G40" s="236">
        <v>2630435</v>
      </c>
      <c r="H40" s="238">
        <v>20734.400000000001</v>
      </c>
      <c r="I40" s="239">
        <v>1.27</v>
      </c>
    </row>
    <row r="41" spans="1:9">
      <c r="A41" s="236"/>
      <c r="B41" s="240" t="s">
        <v>695</v>
      </c>
      <c r="C41" s="236" t="s">
        <v>1658</v>
      </c>
      <c r="D41" s="236" t="s">
        <v>1659</v>
      </c>
      <c r="E41" s="236" t="s">
        <v>408</v>
      </c>
      <c r="F41" s="237"/>
      <c r="G41" s="236">
        <v>17049879</v>
      </c>
      <c r="H41" s="238">
        <v>19808.55</v>
      </c>
      <c r="I41" s="239">
        <v>1.2100000000000002</v>
      </c>
    </row>
    <row r="42" spans="1:9">
      <c r="A42" s="236"/>
      <c r="B42" s="240" t="s">
        <v>695</v>
      </c>
      <c r="C42" s="236" t="s">
        <v>1660</v>
      </c>
      <c r="D42" s="236" t="s">
        <v>1661</v>
      </c>
      <c r="E42" s="236" t="s">
        <v>53</v>
      </c>
      <c r="F42" s="237"/>
      <c r="G42" s="236">
        <v>1909603</v>
      </c>
      <c r="H42" s="238">
        <v>19363.37</v>
      </c>
      <c r="I42" s="239">
        <v>1.18</v>
      </c>
    </row>
    <row r="43" spans="1:9">
      <c r="A43" s="236"/>
      <c r="B43" s="240" t="s">
        <v>695</v>
      </c>
      <c r="C43" s="236" t="s">
        <v>812</v>
      </c>
      <c r="D43" s="236" t="s">
        <v>813</v>
      </c>
      <c r="E43" s="236" t="s">
        <v>136</v>
      </c>
      <c r="F43" s="237"/>
      <c r="G43" s="236">
        <v>509729</v>
      </c>
      <c r="H43" s="238">
        <v>18462.89</v>
      </c>
      <c r="I43" s="239">
        <v>1.1300000000000001</v>
      </c>
    </row>
    <row r="44" spans="1:9">
      <c r="A44" s="236"/>
      <c r="B44" s="240" t="s">
        <v>695</v>
      </c>
      <c r="C44" s="236" t="s">
        <v>1662</v>
      </c>
      <c r="D44" s="236" t="s">
        <v>787</v>
      </c>
      <c r="E44" s="236" t="s">
        <v>83</v>
      </c>
      <c r="F44" s="237"/>
      <c r="G44" s="236">
        <v>8277358</v>
      </c>
      <c r="H44" s="238">
        <v>18330.21</v>
      </c>
      <c r="I44" s="239">
        <v>1.1199999999999999</v>
      </c>
    </row>
    <row r="45" spans="1:9">
      <c r="A45" s="236"/>
      <c r="B45" s="240" t="s">
        <v>695</v>
      </c>
      <c r="C45" s="236" t="s">
        <v>1663</v>
      </c>
      <c r="D45" s="236" t="s">
        <v>80</v>
      </c>
      <c r="E45" s="236" t="s">
        <v>1664</v>
      </c>
      <c r="F45" s="237"/>
      <c r="G45" s="236">
        <v>5807128</v>
      </c>
      <c r="H45" s="238">
        <v>18312.78</v>
      </c>
      <c r="I45" s="239">
        <v>1.1199999999999999</v>
      </c>
    </row>
    <row r="46" spans="1:9">
      <c r="A46" s="236"/>
      <c r="B46" s="240" t="s">
        <v>695</v>
      </c>
      <c r="C46" s="236" t="s">
        <v>1665</v>
      </c>
      <c r="D46" s="236" t="s">
        <v>1666</v>
      </c>
      <c r="E46" s="236" t="s">
        <v>1667</v>
      </c>
      <c r="F46" s="237"/>
      <c r="G46" s="236">
        <v>4353381</v>
      </c>
      <c r="H46" s="238">
        <v>18299.439999999999</v>
      </c>
      <c r="I46" s="239">
        <v>1.1199999999999999</v>
      </c>
    </row>
    <row r="47" spans="1:9">
      <c r="A47" s="236"/>
      <c r="B47" s="240" t="s">
        <v>695</v>
      </c>
      <c r="C47" s="236" t="s">
        <v>1668</v>
      </c>
      <c r="D47" s="236" t="s">
        <v>1669</v>
      </c>
      <c r="E47" s="236" t="s">
        <v>168</v>
      </c>
      <c r="F47" s="237"/>
      <c r="G47" s="236">
        <v>5762470</v>
      </c>
      <c r="H47" s="238">
        <v>17368.080000000002</v>
      </c>
      <c r="I47" s="239">
        <v>1.06</v>
      </c>
    </row>
    <row r="48" spans="1:9">
      <c r="A48" s="236"/>
      <c r="B48" s="240" t="s">
        <v>695</v>
      </c>
      <c r="C48" s="236" t="s">
        <v>1670</v>
      </c>
      <c r="D48" s="236" t="s">
        <v>729</v>
      </c>
      <c r="E48" s="236" t="s">
        <v>1671</v>
      </c>
      <c r="F48" s="237"/>
      <c r="G48" s="236">
        <v>312276</v>
      </c>
      <c r="H48" s="238">
        <v>17248.560000000001</v>
      </c>
      <c r="I48" s="239">
        <v>1.05</v>
      </c>
    </row>
    <row r="49" spans="1:9">
      <c r="A49" s="236"/>
      <c r="B49" s="240" t="s">
        <v>695</v>
      </c>
      <c r="C49" s="236" t="s">
        <v>1672</v>
      </c>
      <c r="D49" s="236" t="s">
        <v>1673</v>
      </c>
      <c r="E49" s="236" t="s">
        <v>114</v>
      </c>
      <c r="F49" s="237"/>
      <c r="G49" s="236">
        <v>1597648</v>
      </c>
      <c r="H49" s="238">
        <v>16995.78</v>
      </c>
      <c r="I49" s="239">
        <v>1.04</v>
      </c>
    </row>
    <row r="50" spans="1:9">
      <c r="A50" s="236"/>
      <c r="B50" s="240" t="s">
        <v>695</v>
      </c>
      <c r="C50" s="236" t="s">
        <v>1674</v>
      </c>
      <c r="D50" s="236" t="s">
        <v>864</v>
      </c>
      <c r="E50" s="236" t="s">
        <v>1615</v>
      </c>
      <c r="F50" s="237"/>
      <c r="G50" s="236">
        <v>795720</v>
      </c>
      <c r="H50" s="238">
        <v>16901.09</v>
      </c>
      <c r="I50" s="239">
        <v>1.03</v>
      </c>
    </row>
    <row r="51" spans="1:9">
      <c r="A51" s="236"/>
      <c r="B51" s="240" t="s">
        <v>695</v>
      </c>
      <c r="C51" s="236" t="s">
        <v>1675</v>
      </c>
      <c r="D51" s="236" t="s">
        <v>828</v>
      </c>
      <c r="E51" s="236" t="s">
        <v>83</v>
      </c>
      <c r="F51" s="237"/>
      <c r="G51" s="236">
        <v>3318721</v>
      </c>
      <c r="H51" s="238">
        <v>16555.439999999999</v>
      </c>
      <c r="I51" s="239">
        <v>1.0100000000000002</v>
      </c>
    </row>
    <row r="52" spans="1:9">
      <c r="A52" s="236"/>
      <c r="B52" s="240" t="s">
        <v>695</v>
      </c>
      <c r="C52" s="236" t="s">
        <v>1676</v>
      </c>
      <c r="D52" s="236" t="s">
        <v>1677</v>
      </c>
      <c r="E52" s="236" t="s">
        <v>23</v>
      </c>
      <c r="F52" s="237"/>
      <c r="G52" s="236">
        <v>4281486</v>
      </c>
      <c r="H52" s="238">
        <v>15687.36</v>
      </c>
      <c r="I52" s="239">
        <v>0.96000000000000008</v>
      </c>
    </row>
    <row r="53" spans="1:9">
      <c r="A53" s="236"/>
      <c r="B53" s="240" t="s">
        <v>695</v>
      </c>
      <c r="C53" s="236" t="s">
        <v>1678</v>
      </c>
      <c r="D53" s="236" t="s">
        <v>1485</v>
      </c>
      <c r="E53" s="236" t="s">
        <v>1679</v>
      </c>
      <c r="F53" s="237"/>
      <c r="G53" s="236">
        <v>1341842</v>
      </c>
      <c r="H53" s="238">
        <v>15011.19</v>
      </c>
      <c r="I53" s="239">
        <v>0.91999999999999993</v>
      </c>
    </row>
    <row r="54" spans="1:9">
      <c r="A54" s="236"/>
      <c r="B54" s="240" t="s">
        <v>695</v>
      </c>
      <c r="C54" s="236" t="s">
        <v>1680</v>
      </c>
      <c r="D54" s="236" t="s">
        <v>1681</v>
      </c>
      <c r="E54" s="236" t="s">
        <v>136</v>
      </c>
      <c r="F54" s="237"/>
      <c r="G54" s="236">
        <v>12333600</v>
      </c>
      <c r="H54" s="238">
        <v>14948.32</v>
      </c>
      <c r="I54" s="239">
        <v>0.91</v>
      </c>
    </row>
    <row r="55" spans="1:9">
      <c r="A55" s="236"/>
      <c r="B55" s="240" t="s">
        <v>695</v>
      </c>
      <c r="C55" s="236" t="s">
        <v>1682</v>
      </c>
      <c r="D55" s="236" t="s">
        <v>29</v>
      </c>
      <c r="E55" s="236" t="s">
        <v>23</v>
      </c>
      <c r="F55" s="237"/>
      <c r="G55" s="236">
        <v>4801166</v>
      </c>
      <c r="H55" s="238">
        <v>14871.61</v>
      </c>
      <c r="I55" s="239">
        <v>0.91</v>
      </c>
    </row>
    <row r="56" spans="1:9">
      <c r="A56" s="236"/>
      <c r="B56" s="240" t="s">
        <v>695</v>
      </c>
      <c r="C56" s="236" t="s">
        <v>1683</v>
      </c>
      <c r="D56" s="236" t="s">
        <v>1684</v>
      </c>
      <c r="E56" s="236" t="s">
        <v>111</v>
      </c>
      <c r="F56" s="237"/>
      <c r="G56" s="236">
        <v>1245847</v>
      </c>
      <c r="H56" s="238">
        <v>14684.800000000001</v>
      </c>
      <c r="I56" s="239">
        <v>0.90000000000000013</v>
      </c>
    </row>
    <row r="57" spans="1:9">
      <c r="A57" s="236"/>
      <c r="B57" s="240" t="s">
        <v>695</v>
      </c>
      <c r="C57" s="236" t="s">
        <v>1685</v>
      </c>
      <c r="D57" s="236" t="s">
        <v>1686</v>
      </c>
      <c r="E57" s="236" t="s">
        <v>83</v>
      </c>
      <c r="F57" s="237"/>
      <c r="G57" s="236">
        <v>7894510</v>
      </c>
      <c r="H57" s="238">
        <v>14170.65</v>
      </c>
      <c r="I57" s="239">
        <v>0.87000000000000011</v>
      </c>
    </row>
    <row r="58" spans="1:9">
      <c r="A58" s="236"/>
      <c r="B58" s="240" t="s">
        <v>695</v>
      </c>
      <c r="C58" s="236" t="s">
        <v>1687</v>
      </c>
      <c r="D58" s="236" t="s">
        <v>1688</v>
      </c>
      <c r="E58" s="236" t="s">
        <v>114</v>
      </c>
      <c r="F58" s="237"/>
      <c r="G58" s="236">
        <v>996446</v>
      </c>
      <c r="H58" s="238">
        <v>13688.18</v>
      </c>
      <c r="I58" s="239">
        <v>0.84000000000000008</v>
      </c>
    </row>
    <row r="59" spans="1:9">
      <c r="A59" s="236"/>
      <c r="B59" s="240" t="s">
        <v>695</v>
      </c>
      <c r="C59" s="236" t="s">
        <v>1689</v>
      </c>
      <c r="D59" s="236" t="s">
        <v>1690</v>
      </c>
      <c r="E59" s="236" t="s">
        <v>83</v>
      </c>
      <c r="F59" s="237"/>
      <c r="G59" s="236">
        <v>177868</v>
      </c>
      <c r="H59" s="238">
        <v>13377.45</v>
      </c>
      <c r="I59" s="239">
        <v>0.82000000000000006</v>
      </c>
    </row>
    <row r="60" spans="1:9">
      <c r="A60" s="236"/>
      <c r="B60" s="240" t="s">
        <v>695</v>
      </c>
      <c r="C60" s="236" t="s">
        <v>1691</v>
      </c>
      <c r="D60" s="236" t="s">
        <v>1692</v>
      </c>
      <c r="E60" s="236" t="s">
        <v>1615</v>
      </c>
      <c r="F60" s="237"/>
      <c r="G60" s="236">
        <v>714810</v>
      </c>
      <c r="H60" s="238">
        <v>13363.37</v>
      </c>
      <c r="I60" s="239">
        <v>0.82000000000000006</v>
      </c>
    </row>
    <row r="61" spans="1:9">
      <c r="A61" s="236"/>
      <c r="B61" s="240" t="s">
        <v>695</v>
      </c>
      <c r="C61" s="236" t="s">
        <v>1356</v>
      </c>
      <c r="D61" s="236" t="s">
        <v>1357</v>
      </c>
      <c r="E61" s="236" t="s">
        <v>316</v>
      </c>
      <c r="F61" s="237"/>
      <c r="G61" s="236">
        <v>1357598</v>
      </c>
      <c r="H61" s="238">
        <v>13092</v>
      </c>
      <c r="I61" s="239">
        <v>0.8</v>
      </c>
    </row>
    <row r="62" spans="1:9">
      <c r="A62" s="236"/>
      <c r="B62" s="240" t="s">
        <v>695</v>
      </c>
      <c r="C62" s="236" t="s">
        <v>1693</v>
      </c>
      <c r="D62" s="236" t="s">
        <v>1694</v>
      </c>
      <c r="E62" s="236" t="s">
        <v>114</v>
      </c>
      <c r="F62" s="237"/>
      <c r="G62" s="236">
        <v>4613196</v>
      </c>
      <c r="H62" s="238">
        <v>12683.98</v>
      </c>
      <c r="I62" s="239">
        <v>0.77</v>
      </c>
    </row>
    <row r="63" spans="1:9">
      <c r="A63" s="236"/>
      <c r="B63" s="240" t="s">
        <v>695</v>
      </c>
      <c r="C63" s="236" t="s">
        <v>1695</v>
      </c>
      <c r="D63" s="236" t="s">
        <v>1696</v>
      </c>
      <c r="E63" s="236" t="s">
        <v>841</v>
      </c>
      <c r="F63" s="237"/>
      <c r="G63" s="236">
        <v>3038257</v>
      </c>
      <c r="H63" s="238">
        <v>12116.57</v>
      </c>
      <c r="I63" s="239">
        <v>0.74</v>
      </c>
    </row>
    <row r="64" spans="1:9">
      <c r="A64" s="236"/>
      <c r="B64" s="240" t="s">
        <v>695</v>
      </c>
      <c r="C64" s="236" t="s">
        <v>1697</v>
      </c>
      <c r="D64" s="236" t="s">
        <v>1698</v>
      </c>
      <c r="E64" s="236" t="s">
        <v>83</v>
      </c>
      <c r="F64" s="237"/>
      <c r="G64" s="236">
        <v>2828824</v>
      </c>
      <c r="H64" s="238">
        <v>11548.67</v>
      </c>
      <c r="I64" s="239">
        <v>0.71000000000000008</v>
      </c>
    </row>
    <row r="65" spans="1:9">
      <c r="A65" s="236"/>
      <c r="B65" s="240" t="s">
        <v>695</v>
      </c>
      <c r="C65" s="236" t="s">
        <v>1699</v>
      </c>
      <c r="D65" s="236" t="s">
        <v>70</v>
      </c>
      <c r="E65" s="236" t="s">
        <v>71</v>
      </c>
      <c r="F65" s="237"/>
      <c r="G65" s="236">
        <v>8744340</v>
      </c>
      <c r="H65" s="238">
        <v>10445.11</v>
      </c>
      <c r="I65" s="239">
        <v>0.64</v>
      </c>
    </row>
    <row r="66" spans="1:9">
      <c r="A66" s="236"/>
      <c r="B66" s="240" t="s">
        <v>695</v>
      </c>
      <c r="C66" s="236" t="s">
        <v>1700</v>
      </c>
      <c r="D66" s="236" t="s">
        <v>1701</v>
      </c>
      <c r="E66" s="236" t="s">
        <v>1615</v>
      </c>
      <c r="F66" s="237"/>
      <c r="G66" s="236">
        <v>1682462</v>
      </c>
      <c r="H66" s="238">
        <v>10082.99</v>
      </c>
      <c r="I66" s="239">
        <v>0.62000000000000011</v>
      </c>
    </row>
    <row r="67" spans="1:9">
      <c r="A67" s="236"/>
      <c r="B67" s="240" t="s">
        <v>695</v>
      </c>
      <c r="C67" s="236" t="s">
        <v>1702</v>
      </c>
      <c r="D67" s="236" t="s">
        <v>1703</v>
      </c>
      <c r="E67" s="236" t="s">
        <v>83</v>
      </c>
      <c r="F67" s="237"/>
      <c r="G67" s="236">
        <v>683778</v>
      </c>
      <c r="H67" s="238">
        <v>9510.67</v>
      </c>
      <c r="I67" s="239">
        <v>0.58000000000000007</v>
      </c>
    </row>
    <row r="68" spans="1:9">
      <c r="A68" s="236"/>
      <c r="B68" s="240" t="s">
        <v>695</v>
      </c>
      <c r="C68" s="236" t="s">
        <v>1704</v>
      </c>
      <c r="D68" s="236" t="s">
        <v>1705</v>
      </c>
      <c r="E68" s="236" t="s">
        <v>136</v>
      </c>
      <c r="F68" s="237"/>
      <c r="G68" s="236">
        <v>1933858</v>
      </c>
      <c r="H68" s="238">
        <v>9462.3700000000008</v>
      </c>
      <c r="I68" s="239">
        <v>0.58000000000000007</v>
      </c>
    </row>
    <row r="69" spans="1:9">
      <c r="A69" s="236"/>
      <c r="B69" s="240" t="s">
        <v>695</v>
      </c>
      <c r="C69" s="236" t="s">
        <v>1706</v>
      </c>
      <c r="D69" s="236" t="s">
        <v>1707</v>
      </c>
      <c r="E69" s="236" t="s">
        <v>850</v>
      </c>
      <c r="F69" s="237"/>
      <c r="G69" s="236">
        <v>964836</v>
      </c>
      <c r="H69" s="238">
        <v>9405.2199999999993</v>
      </c>
      <c r="I69" s="239">
        <v>0.57000000000000006</v>
      </c>
    </row>
    <row r="70" spans="1:9">
      <c r="A70" s="236"/>
      <c r="B70" s="240" t="s">
        <v>695</v>
      </c>
      <c r="C70" s="236" t="s">
        <v>1708</v>
      </c>
      <c r="D70" s="236" t="s">
        <v>1709</v>
      </c>
      <c r="E70" s="236" t="s">
        <v>1649</v>
      </c>
      <c r="F70" s="237"/>
      <c r="G70" s="236">
        <v>148785</v>
      </c>
      <c r="H70" s="238">
        <v>9243.27</v>
      </c>
      <c r="I70" s="239">
        <v>0.55999999999999994</v>
      </c>
    </row>
    <row r="71" spans="1:9">
      <c r="A71" s="236"/>
      <c r="B71" s="240" t="s">
        <v>695</v>
      </c>
      <c r="C71" s="236" t="s">
        <v>1710</v>
      </c>
      <c r="D71" s="236" t="s">
        <v>1391</v>
      </c>
      <c r="E71" s="236" t="s">
        <v>127</v>
      </c>
      <c r="F71" s="237"/>
      <c r="G71" s="236">
        <v>2399139</v>
      </c>
      <c r="H71" s="238">
        <v>9241.48</v>
      </c>
      <c r="I71" s="239">
        <v>0.55999999999999994</v>
      </c>
    </row>
    <row r="72" spans="1:9">
      <c r="A72" s="236"/>
      <c r="B72" s="240" t="s">
        <v>695</v>
      </c>
      <c r="C72" s="236" t="s">
        <v>1711</v>
      </c>
      <c r="D72" s="236" t="s">
        <v>1712</v>
      </c>
      <c r="E72" s="236" t="s">
        <v>1615</v>
      </c>
      <c r="F72" s="237"/>
      <c r="G72" s="236">
        <v>226539</v>
      </c>
      <c r="H72" s="238">
        <v>8972.76</v>
      </c>
      <c r="I72" s="239">
        <v>0.55000000000000004</v>
      </c>
    </row>
    <row r="73" spans="1:9">
      <c r="A73" s="236"/>
      <c r="B73" s="240" t="s">
        <v>695</v>
      </c>
      <c r="C73" s="236" t="s">
        <v>1713</v>
      </c>
      <c r="D73" s="236" t="s">
        <v>1410</v>
      </c>
      <c r="E73" s="236" t="s">
        <v>83</v>
      </c>
      <c r="F73" s="237"/>
      <c r="G73" s="236">
        <v>1727672</v>
      </c>
      <c r="H73" s="238">
        <v>8968.35</v>
      </c>
      <c r="I73" s="239">
        <v>0.55000000000000004</v>
      </c>
    </row>
    <row r="74" spans="1:9">
      <c r="A74" s="236"/>
      <c r="B74" s="240" t="s">
        <v>695</v>
      </c>
      <c r="C74" s="236" t="s">
        <v>1714</v>
      </c>
      <c r="D74" s="236" t="s">
        <v>45</v>
      </c>
      <c r="E74" s="236" t="s">
        <v>13</v>
      </c>
      <c r="F74" s="237"/>
      <c r="G74" s="236">
        <v>1234056</v>
      </c>
      <c r="H74" s="238">
        <v>8608.16</v>
      </c>
      <c r="I74" s="239">
        <v>0.53</v>
      </c>
    </row>
    <row r="75" spans="1:9">
      <c r="A75" s="236"/>
      <c r="B75" s="240" t="s">
        <v>695</v>
      </c>
      <c r="C75" s="236" t="s">
        <v>1715</v>
      </c>
      <c r="D75" s="236" t="s">
        <v>1716</v>
      </c>
      <c r="E75" s="236" t="s">
        <v>266</v>
      </c>
      <c r="F75" s="237"/>
      <c r="G75" s="236">
        <v>3099529</v>
      </c>
      <c r="H75" s="238">
        <v>8243.2000000000007</v>
      </c>
      <c r="I75" s="239">
        <v>0.5</v>
      </c>
    </row>
    <row r="76" spans="1:9">
      <c r="A76" s="236"/>
      <c r="B76" s="240" t="s">
        <v>695</v>
      </c>
      <c r="C76" s="236" t="s">
        <v>1717</v>
      </c>
      <c r="D76" s="236" t="s">
        <v>1718</v>
      </c>
      <c r="E76" s="236" t="s">
        <v>114</v>
      </c>
      <c r="F76" s="237"/>
      <c r="G76" s="236">
        <v>1934440</v>
      </c>
      <c r="H76" s="238">
        <v>7246.41</v>
      </c>
      <c r="I76" s="239">
        <v>0.44</v>
      </c>
    </row>
    <row r="77" spans="1:9">
      <c r="A77" s="236"/>
      <c r="B77" s="240" t="s">
        <v>695</v>
      </c>
      <c r="C77" s="236" t="s">
        <v>1719</v>
      </c>
      <c r="D77" s="236" t="s">
        <v>1720</v>
      </c>
      <c r="E77" s="236" t="s">
        <v>1619</v>
      </c>
      <c r="F77" s="237"/>
      <c r="G77" s="236">
        <v>915494</v>
      </c>
      <c r="H77" s="238">
        <v>4212.6499999999996</v>
      </c>
      <c r="I77" s="239">
        <v>0.26</v>
      </c>
    </row>
    <row r="78" spans="1:9">
      <c r="A78" s="236"/>
      <c r="B78" s="240" t="s">
        <v>695</v>
      </c>
      <c r="C78" s="236" t="s">
        <v>1721</v>
      </c>
      <c r="D78" s="236" t="s">
        <v>1722</v>
      </c>
      <c r="E78" s="236" t="s">
        <v>114</v>
      </c>
      <c r="F78" s="237"/>
      <c r="G78" s="236">
        <v>1525268</v>
      </c>
      <c r="H78" s="238">
        <v>4091.53</v>
      </c>
      <c r="I78" s="239">
        <v>0.25</v>
      </c>
    </row>
    <row r="79" spans="1:9">
      <c r="A79" s="236"/>
      <c r="B79" s="240" t="s">
        <v>695</v>
      </c>
      <c r="C79" s="236" t="s">
        <v>1723</v>
      </c>
      <c r="D79" s="236" t="s">
        <v>1724</v>
      </c>
      <c r="E79" s="236" t="s">
        <v>266</v>
      </c>
      <c r="F79" s="237"/>
      <c r="G79" s="236">
        <v>233903</v>
      </c>
      <c r="H79" s="238">
        <v>3160.5</v>
      </c>
      <c r="I79" s="239">
        <v>0.19</v>
      </c>
    </row>
    <row r="80" spans="1:9">
      <c r="A80" s="236"/>
      <c r="B80" s="240"/>
      <c r="C80" s="236" t="s">
        <v>1725</v>
      </c>
      <c r="D80" s="236" t="s">
        <v>1726</v>
      </c>
      <c r="E80" s="236" t="s">
        <v>53</v>
      </c>
      <c r="F80" s="237"/>
      <c r="G80" s="236">
        <v>536782</v>
      </c>
      <c r="H80" s="238">
        <v>3109.04</v>
      </c>
      <c r="I80" s="239">
        <v>0.19</v>
      </c>
    </row>
    <row r="81" spans="1:9">
      <c r="A81" s="236"/>
      <c r="B81" s="240" t="s">
        <v>695</v>
      </c>
      <c r="C81" s="236" t="s">
        <v>1727</v>
      </c>
      <c r="D81" s="236" t="s">
        <v>1116</v>
      </c>
      <c r="E81" s="236" t="s">
        <v>168</v>
      </c>
      <c r="F81" s="237"/>
      <c r="G81" s="236">
        <v>2859430</v>
      </c>
      <c r="H81" s="238">
        <v>1869.21</v>
      </c>
      <c r="I81" s="239">
        <v>0.11</v>
      </c>
    </row>
    <row r="82" spans="1:9">
      <c r="A82" s="236"/>
      <c r="B82" s="240" t="s">
        <v>695</v>
      </c>
      <c r="C82" s="236" t="s">
        <v>1728</v>
      </c>
      <c r="D82" s="236" t="s">
        <v>1729</v>
      </c>
      <c r="E82" s="236" t="s">
        <v>13</v>
      </c>
      <c r="F82" s="237"/>
      <c r="G82" s="236">
        <v>135026</v>
      </c>
      <c r="H82" s="238">
        <v>564.48</v>
      </c>
      <c r="I82" s="239">
        <v>3.0000000000000002E-2</v>
      </c>
    </row>
    <row r="83" spans="1:9">
      <c r="A83" s="236"/>
      <c r="B83" s="240" t="s">
        <v>695</v>
      </c>
      <c r="C83" s="236" t="s">
        <v>1730</v>
      </c>
      <c r="D83" s="236" t="s">
        <v>1731</v>
      </c>
      <c r="E83" s="236" t="s">
        <v>53</v>
      </c>
      <c r="F83" s="237"/>
      <c r="G83" s="236">
        <v>6098</v>
      </c>
      <c r="H83" s="238">
        <v>69.17</v>
      </c>
      <c r="I83" s="241" t="s">
        <v>1732</v>
      </c>
    </row>
    <row r="84" spans="1:9" ht="17" thickBot="1">
      <c r="A84" s="236"/>
      <c r="B84" s="236"/>
      <c r="C84" s="236"/>
      <c r="D84" s="236"/>
      <c r="E84" s="242" t="s">
        <v>91</v>
      </c>
      <c r="F84" s="237"/>
      <c r="G84" s="236"/>
      <c r="H84" s="243">
        <v>1617114.56</v>
      </c>
      <c r="I84" s="244">
        <v>98.789999999999964</v>
      </c>
    </row>
    <row r="85" spans="1:9" ht="17" thickTop="1">
      <c r="A85" s="217"/>
      <c r="B85" s="217"/>
      <c r="C85" s="217"/>
      <c r="D85" s="217"/>
      <c r="E85" s="217"/>
      <c r="F85" s="218"/>
      <c r="G85" s="217"/>
      <c r="H85" s="219"/>
      <c r="I85" s="220"/>
    </row>
    <row r="86" spans="1:9">
      <c r="A86" s="217"/>
      <c r="B86" s="217"/>
      <c r="C86" s="217"/>
      <c r="D86" s="217"/>
      <c r="E86" s="217"/>
      <c r="F86" s="218"/>
      <c r="G86" s="217"/>
      <c r="H86" s="219"/>
      <c r="I86" s="220"/>
    </row>
    <row r="87" spans="1:9">
      <c r="A87" s="217"/>
      <c r="B87" s="217"/>
      <c r="C87" s="217" t="s">
        <v>1733</v>
      </c>
      <c r="D87" s="217"/>
      <c r="E87" s="217" t="s">
        <v>695</v>
      </c>
      <c r="F87" s="218">
        <v>5.16</v>
      </c>
      <c r="G87" s="217"/>
      <c r="H87" s="219">
        <v>24256.58</v>
      </c>
      <c r="I87" s="220">
        <v>1.48</v>
      </c>
    </row>
    <row r="88" spans="1:9">
      <c r="A88" s="217"/>
      <c r="B88" s="217"/>
      <c r="C88" s="217"/>
      <c r="D88" s="217"/>
      <c r="E88" s="217"/>
      <c r="F88" s="218"/>
      <c r="G88" s="217"/>
      <c r="H88" s="219"/>
      <c r="I88" s="220"/>
    </row>
    <row r="89" spans="1:9">
      <c r="A89" s="224" t="s">
        <v>1734</v>
      </c>
      <c r="B89" s="217"/>
      <c r="C89" s="217"/>
      <c r="D89" s="217"/>
      <c r="E89" s="217"/>
      <c r="F89" s="218"/>
      <c r="G89" s="217"/>
      <c r="H89" s="225">
        <v>-4587.6099999999997</v>
      </c>
      <c r="I89" s="226">
        <v>-0.27</v>
      </c>
    </row>
    <row r="90" spans="1:9">
      <c r="A90" s="217"/>
      <c r="B90" s="217"/>
      <c r="C90" s="217"/>
      <c r="D90" s="217"/>
      <c r="E90" s="217"/>
      <c r="F90" s="218"/>
      <c r="G90" s="217"/>
      <c r="H90" s="219"/>
      <c r="I90" s="220"/>
    </row>
    <row r="91" spans="1:9" ht="17" thickBot="1">
      <c r="A91" s="217"/>
      <c r="B91" s="217"/>
      <c r="C91" s="217"/>
      <c r="D91" s="217"/>
      <c r="E91" s="221" t="s">
        <v>877</v>
      </c>
      <c r="F91" s="218"/>
      <c r="G91" s="217"/>
      <c r="H91" s="222">
        <v>1636783.53</v>
      </c>
      <c r="I91" s="223">
        <v>100</v>
      </c>
    </row>
    <row r="92" spans="1:9" ht="17" thickTop="1"/>
  </sheetData>
  <mergeCells count="3">
    <mergeCell ref="A2:C2"/>
    <mergeCell ref="A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DAS</dc:creator>
  <cp:lastModifiedBy>DEBASIS DAS</cp:lastModifiedBy>
  <dcterms:created xsi:type="dcterms:W3CDTF">2026-02-17T11:22:18Z</dcterms:created>
  <dcterms:modified xsi:type="dcterms:W3CDTF">2026-02-24T04:48:54Z</dcterms:modified>
</cp:coreProperties>
</file>